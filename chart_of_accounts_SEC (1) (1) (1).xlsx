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sh\Downloads\"/>
    </mc:Choice>
  </mc:AlternateContent>
  <xr:revisionPtr revIDLastSave="0" documentId="13_ncr:1_{EABD6877-503D-4B58-B683-B68AE44D9E0E}" xr6:coauthVersionLast="47" xr6:coauthVersionMax="47" xr10:uidLastSave="{00000000-0000-0000-0000-000000000000}"/>
  <bookViews>
    <workbookView xWindow="28680" yWindow="-1815" windowWidth="29040" windowHeight="15720" xr2:uid="{00000000-000D-0000-FFFF-FFFF00000000}"/>
  </bookViews>
  <sheets>
    <sheet name="Chart of Accou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5" i="1" l="1"/>
  <c r="K94" i="1"/>
  <c r="K92" i="1"/>
  <c r="K91" i="1"/>
  <c r="K90" i="1"/>
  <c r="K89" i="1"/>
  <c r="K88" i="1"/>
  <c r="K87" i="1"/>
  <c r="K86" i="1"/>
  <c r="K85" i="1"/>
  <c r="K84" i="1"/>
  <c r="K83" i="1"/>
  <c r="K82" i="1"/>
  <c r="K81" i="1"/>
  <c r="K80" i="1"/>
  <c r="K79" i="1"/>
  <c r="K78" i="1"/>
  <c r="K77" i="1"/>
  <c r="K76" i="1"/>
  <c r="K75" i="1"/>
  <c r="K74" i="1"/>
  <c r="K73" i="1"/>
  <c r="K72" i="1"/>
  <c r="K70" i="1"/>
  <c r="K69" i="1"/>
  <c r="K68" i="1"/>
  <c r="K67" i="1"/>
  <c r="K66" i="1"/>
  <c r="K65" i="1"/>
  <c r="K64" i="1"/>
  <c r="K63" i="1"/>
  <c r="K62" i="1"/>
  <c r="K61" i="1"/>
  <c r="K60" i="1"/>
  <c r="K59" i="1"/>
  <c r="K58" i="1"/>
  <c r="K57" i="1"/>
  <c r="K56" i="1"/>
  <c r="K55" i="1"/>
  <c r="K54" i="1"/>
  <c r="K53" i="1"/>
  <c r="K52" i="1"/>
  <c r="K51" i="1"/>
  <c r="K50" i="1"/>
  <c r="P12" i="1"/>
  <c r="P11" i="1"/>
  <c r="P10" i="1"/>
  <c r="P9"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2" i="1"/>
  <c r="Q11" i="1"/>
  <c r="Q10" i="1"/>
  <c r="Q9" i="1"/>
  <c r="Q8" i="1"/>
  <c r="P8" i="1"/>
  <c r="D95" i="1"/>
  <c r="D94" i="1"/>
  <c r="D92" i="1"/>
  <c r="D91" i="1"/>
  <c r="D90" i="1"/>
  <c r="D89" i="1"/>
  <c r="D88" i="1"/>
  <c r="D87" i="1"/>
  <c r="D86" i="1"/>
  <c r="D85" i="1"/>
  <c r="D84" i="1"/>
  <c r="D83" i="1"/>
  <c r="D82" i="1"/>
  <c r="D81" i="1"/>
  <c r="D80" i="1"/>
  <c r="D79" i="1"/>
  <c r="D78" i="1"/>
  <c r="D77" i="1"/>
  <c r="D76" i="1"/>
  <c r="D75" i="1"/>
  <c r="D74" i="1"/>
  <c r="D73" i="1"/>
  <c r="D72" i="1"/>
  <c r="D70" i="1"/>
  <c r="D69" i="1"/>
  <c r="D68" i="1"/>
  <c r="D67" i="1"/>
  <c r="D66" i="1"/>
  <c r="D65" i="1"/>
  <c r="D64" i="1"/>
  <c r="D63" i="1"/>
  <c r="D62" i="1"/>
  <c r="D61" i="1"/>
  <c r="D60" i="1"/>
  <c r="D59" i="1"/>
  <c r="D58" i="1"/>
  <c r="D57" i="1"/>
  <c r="D56" i="1"/>
  <c r="D55" i="1"/>
  <c r="D54" i="1"/>
  <c r="D53" i="1"/>
  <c r="D52" i="1"/>
  <c r="D51" i="1"/>
  <c r="D50"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2" i="1"/>
  <c r="D11" i="1"/>
  <c r="D10" i="1"/>
  <c r="D9" i="1"/>
  <c r="D8" i="1"/>
  <c r="L95" i="1" l="1"/>
  <c r="M95" i="1" s="1"/>
  <c r="N95" i="1" s="1"/>
  <c r="O95" i="1" s="1"/>
  <c r="P95" i="1" s="1"/>
  <c r="Q95" i="1" s="1"/>
  <c r="R95" i="1" s="1"/>
  <c r="S95" i="1" s="1"/>
  <c r="T95" i="1" s="1"/>
  <c r="L94" i="1"/>
  <c r="M94" i="1" s="1"/>
  <c r="N94" i="1" s="1"/>
  <c r="O94" i="1" s="1"/>
  <c r="P94" i="1" s="1"/>
  <c r="Q94" i="1" s="1"/>
  <c r="R94" i="1" s="1"/>
  <c r="S94" i="1" s="1"/>
  <c r="T94" i="1" s="1"/>
  <c r="L92" i="1"/>
  <c r="M92" i="1" s="1"/>
  <c r="N92" i="1" s="1"/>
  <c r="O92" i="1" s="1"/>
  <c r="P92" i="1" s="1"/>
  <c r="Q92" i="1" s="1"/>
  <c r="R92" i="1" s="1"/>
  <c r="S92" i="1" s="1"/>
  <c r="T92" i="1" s="1"/>
  <c r="R44" i="1"/>
  <c r="S44" i="1" s="1"/>
  <c r="T44" i="1" s="1"/>
  <c r="R43" i="1"/>
  <c r="S43" i="1" s="1"/>
  <c r="T43" i="1" s="1"/>
  <c r="R41" i="1"/>
  <c r="S41" i="1" s="1"/>
  <c r="T41" i="1" s="1"/>
  <c r="R38" i="1"/>
  <c r="S38" i="1" s="1"/>
  <c r="T38" i="1" s="1"/>
  <c r="R35" i="1"/>
  <c r="S35" i="1" s="1"/>
  <c r="R28" i="1"/>
  <c r="S28" i="1" s="1"/>
  <c r="T28" i="1" s="1"/>
  <c r="R25" i="1"/>
  <c r="S25" i="1" s="1"/>
  <c r="T25" i="1" s="1"/>
  <c r="R24" i="1"/>
  <c r="S24" i="1" s="1"/>
  <c r="T24" i="1" s="1"/>
  <c r="R18" i="1"/>
  <c r="S18" i="1" s="1"/>
  <c r="T18" i="1" s="1"/>
  <c r="R15" i="1"/>
  <c r="S15" i="1" s="1"/>
  <c r="L91" i="1"/>
  <c r="M91" i="1" s="1"/>
  <c r="N91" i="1" s="1"/>
  <c r="O91" i="1" s="1"/>
  <c r="P91" i="1" s="1"/>
  <c r="Q91" i="1" s="1"/>
  <c r="R91" i="1" s="1"/>
  <c r="S91" i="1" s="1"/>
  <c r="T91" i="1" s="1"/>
  <c r="L90" i="1"/>
  <c r="M90" i="1" s="1"/>
  <c r="N90" i="1" s="1"/>
  <c r="O90" i="1" s="1"/>
  <c r="P90" i="1" s="1"/>
  <c r="Q90" i="1" s="1"/>
  <c r="R90" i="1" s="1"/>
  <c r="S90" i="1" s="1"/>
  <c r="T90" i="1" s="1"/>
  <c r="L89" i="1"/>
  <c r="M89" i="1" s="1"/>
  <c r="N89" i="1" s="1"/>
  <c r="O89" i="1" s="1"/>
  <c r="P89" i="1" s="1"/>
  <c r="Q89" i="1" s="1"/>
  <c r="R89" i="1" s="1"/>
  <c r="S89" i="1" s="1"/>
  <c r="T89" i="1" s="1"/>
  <c r="L88" i="1"/>
  <c r="M88" i="1" s="1"/>
  <c r="N88" i="1" s="1"/>
  <c r="O88" i="1" s="1"/>
  <c r="P88" i="1" s="1"/>
  <c r="Q88" i="1" s="1"/>
  <c r="R88" i="1" s="1"/>
  <c r="S88" i="1" s="1"/>
  <c r="T88" i="1" s="1"/>
  <c r="L87" i="1"/>
  <c r="M87" i="1" s="1"/>
  <c r="N87" i="1" s="1"/>
  <c r="O87" i="1" s="1"/>
  <c r="P87" i="1" s="1"/>
  <c r="Q87" i="1" s="1"/>
  <c r="R87" i="1" s="1"/>
  <c r="S87" i="1" s="1"/>
  <c r="T87" i="1" s="1"/>
  <c r="L86" i="1"/>
  <c r="M86" i="1" s="1"/>
  <c r="N86" i="1" s="1"/>
  <c r="O86" i="1" s="1"/>
  <c r="P86" i="1" s="1"/>
  <c r="Q86" i="1" s="1"/>
  <c r="R86" i="1" s="1"/>
  <c r="S86" i="1" s="1"/>
  <c r="T86" i="1" s="1"/>
  <c r="L61" i="1"/>
  <c r="M61" i="1" s="1"/>
  <c r="L58" i="1"/>
  <c r="M58" i="1" s="1"/>
  <c r="L57" i="1"/>
  <c r="M57" i="1" s="1"/>
  <c r="N57" i="1" s="1"/>
  <c r="O57" i="1" s="1"/>
  <c r="L52" i="1"/>
  <c r="M52" i="1" s="1"/>
  <c r="R34" i="1"/>
  <c r="S34" i="1" s="1"/>
  <c r="T34" i="1" s="1"/>
  <c r="R33" i="1"/>
  <c r="S33" i="1" s="1"/>
  <c r="T33" i="1" s="1"/>
  <c r="R27" i="1"/>
  <c r="S27" i="1" s="1"/>
  <c r="T27" i="1" s="1"/>
  <c r="R19" i="1"/>
  <c r="S19" i="1" s="1"/>
  <c r="T19" i="1" s="1"/>
  <c r="R17" i="1"/>
  <c r="S17" i="1" s="1"/>
  <c r="T17" i="1" s="1"/>
  <c r="R16" i="1"/>
  <c r="S16" i="1" s="1"/>
  <c r="T16" i="1" s="1"/>
  <c r="T15" i="1"/>
  <c r="R12" i="1"/>
  <c r="S12" i="1" s="1"/>
  <c r="R11" i="1"/>
  <c r="S11" i="1" s="1"/>
  <c r="T11" i="1" s="1"/>
  <c r="R8" i="1"/>
  <c r="S8" i="1" s="1"/>
  <c r="T8" i="1" s="1"/>
  <c r="L85" i="1"/>
  <c r="M85" i="1" s="1"/>
  <c r="N85" i="1" s="1"/>
  <c r="O85" i="1" s="1"/>
  <c r="P85" i="1" s="1"/>
  <c r="Q85" i="1" s="1"/>
  <c r="R85" i="1" s="1"/>
  <c r="S85" i="1" s="1"/>
  <c r="T85" i="1" s="1"/>
  <c r="L84" i="1"/>
  <c r="M84" i="1" s="1"/>
  <c r="N84" i="1" s="1"/>
  <c r="O84" i="1" s="1"/>
  <c r="P84" i="1" s="1"/>
  <c r="Q84" i="1" s="1"/>
  <c r="R84" i="1" s="1"/>
  <c r="S84" i="1" s="1"/>
  <c r="T84" i="1" s="1"/>
  <c r="L83" i="1"/>
  <c r="M83" i="1" s="1"/>
  <c r="N83" i="1" s="1"/>
  <c r="O83" i="1" s="1"/>
  <c r="P83" i="1" s="1"/>
  <c r="Q83" i="1" s="1"/>
  <c r="R83" i="1" s="1"/>
  <c r="S83" i="1" s="1"/>
  <c r="T83" i="1" s="1"/>
  <c r="L82" i="1"/>
  <c r="M82" i="1" s="1"/>
  <c r="N82" i="1" s="1"/>
  <c r="O82" i="1" s="1"/>
  <c r="P82" i="1" s="1"/>
  <c r="Q82" i="1" s="1"/>
  <c r="R82" i="1" s="1"/>
  <c r="S82" i="1" s="1"/>
  <c r="T82" i="1" s="1"/>
  <c r="L81" i="1"/>
  <c r="M81" i="1" s="1"/>
  <c r="N81" i="1" s="1"/>
  <c r="O81" i="1" s="1"/>
  <c r="P81" i="1" s="1"/>
  <c r="Q81" i="1" s="1"/>
  <c r="R81" i="1" s="1"/>
  <c r="S81" i="1" s="1"/>
  <c r="T81" i="1" s="1"/>
  <c r="L62" i="1"/>
  <c r="M62" i="1" s="1"/>
  <c r="N62" i="1" s="1"/>
  <c r="O62" i="1" s="1"/>
  <c r="P62" i="1" s="1"/>
  <c r="Q62" i="1" s="1"/>
  <c r="N58" i="1"/>
  <c r="O58" i="1" s="1"/>
  <c r="P58" i="1" s="1"/>
  <c r="Q58" i="1" s="1"/>
  <c r="R58" i="1" s="1"/>
  <c r="S58" i="1" s="1"/>
  <c r="T58" i="1" s="1"/>
  <c r="P57" i="1"/>
  <c r="Q57" i="1" s="1"/>
  <c r="R57" i="1" s="1"/>
  <c r="S57" i="1" s="1"/>
  <c r="T57" i="1" s="1"/>
  <c r="L56" i="1"/>
  <c r="M56" i="1" s="1"/>
  <c r="N56" i="1" s="1"/>
  <c r="O56" i="1" s="1"/>
  <c r="P56" i="1" s="1"/>
  <c r="Q56" i="1" s="1"/>
  <c r="R56" i="1" s="1"/>
  <c r="S56" i="1" s="1"/>
  <c r="T56" i="1" s="1"/>
  <c r="L54" i="1"/>
  <c r="M54" i="1" s="1"/>
  <c r="N54" i="1" s="1"/>
  <c r="O54" i="1" s="1"/>
  <c r="P54" i="1" s="1"/>
  <c r="Q54" i="1" s="1"/>
  <c r="R54" i="1" s="1"/>
  <c r="S54" i="1" s="1"/>
  <c r="T54" i="1" s="1"/>
  <c r="L53" i="1"/>
  <c r="M53" i="1" s="1"/>
  <c r="N53" i="1" s="1"/>
  <c r="O53" i="1" s="1"/>
  <c r="P53" i="1" s="1"/>
  <c r="Q53" i="1" s="1"/>
  <c r="R53" i="1" s="1"/>
  <c r="S53" i="1" s="1"/>
  <c r="T53" i="1" s="1"/>
  <c r="L50" i="1"/>
  <c r="M50" i="1" s="1"/>
  <c r="N50" i="1" s="1"/>
  <c r="O50" i="1" s="1"/>
  <c r="P50" i="1" s="1"/>
  <c r="Q50" i="1" s="1"/>
  <c r="R50" i="1" s="1"/>
  <c r="S50" i="1" s="1"/>
  <c r="T50" i="1" s="1"/>
  <c r="R32" i="1"/>
  <c r="S32" i="1" s="1"/>
  <c r="T32" i="1" s="1"/>
  <c r="R31" i="1"/>
  <c r="S31" i="1" s="1"/>
  <c r="T31" i="1" s="1"/>
  <c r="R14" i="1"/>
  <c r="S14" i="1" s="1"/>
  <c r="T14" i="1" s="1"/>
  <c r="R10" i="1"/>
  <c r="S10" i="1" s="1"/>
  <c r="T10" i="1" s="1"/>
  <c r="L80" i="1"/>
  <c r="M80" i="1" s="1"/>
  <c r="N80" i="1" s="1"/>
  <c r="O80" i="1" s="1"/>
  <c r="P80" i="1" s="1"/>
  <c r="Q80" i="1" s="1"/>
  <c r="R80" i="1" s="1"/>
  <c r="S80" i="1" s="1"/>
  <c r="T80" i="1" s="1"/>
  <c r="L79" i="1"/>
  <c r="M79" i="1" s="1"/>
  <c r="N79" i="1" s="1"/>
  <c r="O79" i="1" s="1"/>
  <c r="P79" i="1" s="1"/>
  <c r="Q79" i="1" s="1"/>
  <c r="R79" i="1" s="1"/>
  <c r="S79" i="1" s="1"/>
  <c r="T79" i="1" s="1"/>
  <c r="L78" i="1"/>
  <c r="M78" i="1" s="1"/>
  <c r="N78" i="1" s="1"/>
  <c r="O78" i="1" s="1"/>
  <c r="P78" i="1" s="1"/>
  <c r="Q78" i="1" s="1"/>
  <c r="R78" i="1" s="1"/>
  <c r="S78" i="1" s="1"/>
  <c r="T78" i="1" s="1"/>
  <c r="L77" i="1"/>
  <c r="M77" i="1" s="1"/>
  <c r="N77" i="1" s="1"/>
  <c r="O77" i="1" s="1"/>
  <c r="P77" i="1" s="1"/>
  <c r="Q77" i="1" s="1"/>
  <c r="R77" i="1" s="1"/>
  <c r="S77" i="1" s="1"/>
  <c r="T77" i="1" s="1"/>
  <c r="L76" i="1"/>
  <c r="M76" i="1" s="1"/>
  <c r="N76" i="1" s="1"/>
  <c r="O76" i="1" s="1"/>
  <c r="P76" i="1" s="1"/>
  <c r="Q76" i="1" s="1"/>
  <c r="R76" i="1" s="1"/>
  <c r="S76" i="1" s="1"/>
  <c r="T76" i="1" s="1"/>
  <c r="L75" i="1"/>
  <c r="M75" i="1" s="1"/>
  <c r="N75" i="1" s="1"/>
  <c r="O75" i="1" s="1"/>
  <c r="P75" i="1" s="1"/>
  <c r="Q75" i="1" s="1"/>
  <c r="R75" i="1" s="1"/>
  <c r="S75" i="1" s="1"/>
  <c r="T75" i="1" s="1"/>
  <c r="L74" i="1"/>
  <c r="M74" i="1" s="1"/>
  <c r="N74" i="1" s="1"/>
  <c r="O74" i="1" s="1"/>
  <c r="P74" i="1" s="1"/>
  <c r="Q74" i="1" s="1"/>
  <c r="R74" i="1" s="1"/>
  <c r="S74" i="1" s="1"/>
  <c r="T74" i="1" s="1"/>
  <c r="L73" i="1"/>
  <c r="M73" i="1" s="1"/>
  <c r="N73" i="1" s="1"/>
  <c r="O73" i="1" s="1"/>
  <c r="P73" i="1" s="1"/>
  <c r="Q73" i="1" s="1"/>
  <c r="R73" i="1" s="1"/>
  <c r="S73" i="1" s="1"/>
  <c r="T73" i="1" s="1"/>
  <c r="L72" i="1"/>
  <c r="M72" i="1" s="1"/>
  <c r="N72" i="1" s="1"/>
  <c r="O72" i="1" s="1"/>
  <c r="P72" i="1" s="1"/>
  <c r="Q72" i="1" s="1"/>
  <c r="R72" i="1" s="1"/>
  <c r="S72" i="1" s="1"/>
  <c r="T72" i="1" s="1"/>
  <c r="L70" i="1"/>
  <c r="M70" i="1" s="1"/>
  <c r="N70" i="1" s="1"/>
  <c r="O70" i="1" s="1"/>
  <c r="P70" i="1" s="1"/>
  <c r="Q70" i="1" s="1"/>
  <c r="R70" i="1" s="1"/>
  <c r="S70" i="1" s="1"/>
  <c r="T70" i="1" s="1"/>
  <c r="L69" i="1"/>
  <c r="M69" i="1" s="1"/>
  <c r="N69" i="1" s="1"/>
  <c r="O69" i="1" s="1"/>
  <c r="P69" i="1" s="1"/>
  <c r="Q69" i="1" s="1"/>
  <c r="R69" i="1" s="1"/>
  <c r="S69" i="1" s="1"/>
  <c r="T69" i="1" s="1"/>
  <c r="L68" i="1"/>
  <c r="M68" i="1" s="1"/>
  <c r="N68" i="1" s="1"/>
  <c r="O68" i="1" s="1"/>
  <c r="P68" i="1" s="1"/>
  <c r="Q68" i="1" s="1"/>
  <c r="R68" i="1" s="1"/>
  <c r="S68" i="1" s="1"/>
  <c r="T68" i="1" s="1"/>
  <c r="L67" i="1"/>
  <c r="M67" i="1" s="1"/>
  <c r="N67" i="1" s="1"/>
  <c r="O67" i="1" s="1"/>
  <c r="P67" i="1" s="1"/>
  <c r="Q67" i="1" s="1"/>
  <c r="R67" i="1" s="1"/>
  <c r="S67" i="1" s="1"/>
  <c r="T67" i="1" s="1"/>
  <c r="L66" i="1"/>
  <c r="M66" i="1" s="1"/>
  <c r="N66" i="1" s="1"/>
  <c r="O66" i="1" s="1"/>
  <c r="P66" i="1" s="1"/>
  <c r="Q66" i="1" s="1"/>
  <c r="R66" i="1" s="1"/>
  <c r="S66" i="1" s="1"/>
  <c r="T66" i="1" s="1"/>
  <c r="L65" i="1"/>
  <c r="M65" i="1" s="1"/>
  <c r="N65" i="1" s="1"/>
  <c r="O65" i="1" s="1"/>
  <c r="P65" i="1" s="1"/>
  <c r="Q65" i="1" s="1"/>
  <c r="R65" i="1" s="1"/>
  <c r="S65" i="1" s="1"/>
  <c r="T65" i="1" s="1"/>
  <c r="L64" i="1"/>
  <c r="M64" i="1" s="1"/>
  <c r="N64" i="1" s="1"/>
  <c r="O64" i="1" s="1"/>
  <c r="P64" i="1" s="1"/>
  <c r="Q64" i="1" s="1"/>
  <c r="R64" i="1" s="1"/>
  <c r="S64" i="1" s="1"/>
  <c r="T64" i="1" s="1"/>
  <c r="L63" i="1"/>
  <c r="M63" i="1" s="1"/>
  <c r="N63" i="1" s="1"/>
  <c r="O63" i="1" s="1"/>
  <c r="P63" i="1" s="1"/>
  <c r="Q63" i="1" s="1"/>
  <c r="R63" i="1" s="1"/>
  <c r="S63" i="1" s="1"/>
  <c r="T63" i="1" s="1"/>
  <c r="R62" i="1"/>
  <c r="S62" i="1" s="1"/>
  <c r="T62" i="1" s="1"/>
  <c r="L60" i="1"/>
  <c r="M60" i="1" s="1"/>
  <c r="N60" i="1" s="1"/>
  <c r="O60" i="1" s="1"/>
  <c r="P60" i="1" s="1"/>
  <c r="Q60" i="1" s="1"/>
  <c r="R60" i="1" s="1"/>
  <c r="S60" i="1" s="1"/>
  <c r="T60" i="1" s="1"/>
  <c r="L59" i="1"/>
  <c r="M59" i="1" s="1"/>
  <c r="N59" i="1" s="1"/>
  <c r="O59" i="1" s="1"/>
  <c r="P59" i="1" s="1"/>
  <c r="Q59" i="1" s="1"/>
  <c r="R59" i="1" s="1"/>
  <c r="S59" i="1" s="1"/>
  <c r="T59" i="1" s="1"/>
  <c r="L55" i="1"/>
  <c r="M55" i="1" s="1"/>
  <c r="N55" i="1" s="1"/>
  <c r="O55" i="1" s="1"/>
  <c r="P55" i="1" s="1"/>
  <c r="Q55" i="1" s="1"/>
  <c r="R55" i="1" s="1"/>
  <c r="S55" i="1" s="1"/>
  <c r="T55" i="1" s="1"/>
  <c r="N52" i="1"/>
  <c r="O52" i="1" s="1"/>
  <c r="P52" i="1" s="1"/>
  <c r="Q52" i="1" s="1"/>
  <c r="R52" i="1" s="1"/>
  <c r="S52" i="1" s="1"/>
  <c r="T52" i="1" s="1"/>
  <c r="L51" i="1"/>
  <c r="M51" i="1" s="1"/>
  <c r="N51" i="1" s="1"/>
  <c r="O51" i="1" s="1"/>
  <c r="P51" i="1" s="1"/>
  <c r="Q51" i="1" s="1"/>
  <c r="R51" i="1" s="1"/>
  <c r="S51" i="1" s="1"/>
  <c r="T51" i="1" s="1"/>
  <c r="R47" i="1"/>
  <c r="S47" i="1" s="1"/>
  <c r="T47" i="1" s="1"/>
  <c r="R46" i="1"/>
  <c r="S46" i="1" s="1"/>
  <c r="T46" i="1" s="1"/>
  <c r="R45" i="1"/>
  <c r="S45" i="1" s="1"/>
  <c r="T45" i="1" s="1"/>
  <c r="R42" i="1"/>
  <c r="S42" i="1" s="1"/>
  <c r="T42" i="1" s="1"/>
  <c r="R40" i="1"/>
  <c r="S40" i="1" s="1"/>
  <c r="T40" i="1" s="1"/>
  <c r="R39" i="1"/>
  <c r="S39" i="1" s="1"/>
  <c r="T39" i="1" s="1"/>
  <c r="R37" i="1"/>
  <c r="S37" i="1" s="1"/>
  <c r="T37" i="1" s="1"/>
  <c r="R36" i="1"/>
  <c r="S36" i="1" s="1"/>
  <c r="T36" i="1" s="1"/>
  <c r="R30" i="1"/>
  <c r="S30" i="1" s="1"/>
  <c r="T30" i="1" s="1"/>
  <c r="R29" i="1"/>
  <c r="S29" i="1" s="1"/>
  <c r="T29" i="1" s="1"/>
  <c r="R26" i="1"/>
  <c r="S26" i="1" s="1"/>
  <c r="T26" i="1" s="1"/>
  <c r="R23" i="1"/>
  <c r="S23" i="1" s="1"/>
  <c r="T23" i="1" s="1"/>
  <c r="R22" i="1"/>
  <c r="S22" i="1" s="1"/>
  <c r="T22" i="1" s="1"/>
  <c r="R21" i="1"/>
  <c r="S21" i="1" s="1"/>
  <c r="T21" i="1" s="1"/>
  <c r="R20" i="1"/>
  <c r="S20" i="1" s="1"/>
  <c r="T20" i="1" s="1"/>
  <c r="R9" i="1"/>
  <c r="S9" i="1" s="1"/>
  <c r="T9" i="1" s="1"/>
  <c r="X95" i="1"/>
  <c r="X94" i="1"/>
  <c r="X92" i="1"/>
  <c r="X91" i="1"/>
  <c r="X90" i="1"/>
  <c r="X89" i="1"/>
  <c r="X88" i="1"/>
  <c r="X87" i="1"/>
  <c r="X86" i="1"/>
  <c r="X85" i="1"/>
  <c r="X84" i="1"/>
  <c r="X83" i="1"/>
  <c r="X82" i="1"/>
  <c r="X81" i="1"/>
  <c r="X80" i="1"/>
  <c r="X79" i="1"/>
  <c r="X78" i="1"/>
  <c r="X77" i="1"/>
  <c r="X76" i="1"/>
  <c r="X75" i="1"/>
  <c r="X74" i="1"/>
  <c r="X73" i="1"/>
  <c r="X72" i="1"/>
  <c r="X70" i="1"/>
  <c r="X69" i="1"/>
  <c r="X68" i="1"/>
  <c r="X67" i="1"/>
  <c r="X66" i="1"/>
  <c r="X64" i="1"/>
  <c r="X63" i="1"/>
  <c r="X62" i="1"/>
  <c r="X61" i="1"/>
  <c r="X60" i="1"/>
  <c r="X59" i="1"/>
  <c r="X58" i="1"/>
  <c r="X57" i="1"/>
  <c r="X56" i="1"/>
  <c r="X55" i="1"/>
  <c r="X54" i="1"/>
  <c r="X53" i="1"/>
  <c r="X52" i="1"/>
  <c r="X51" i="1"/>
  <c r="X50" i="1"/>
  <c r="X47" i="1"/>
  <c r="X46" i="1"/>
  <c r="X65" i="1"/>
  <c r="X45" i="1"/>
  <c r="X44" i="1"/>
  <c r="X43" i="1"/>
  <c r="X42" i="1"/>
  <c r="X41" i="1"/>
  <c r="X40" i="1"/>
  <c r="X39" i="1"/>
  <c r="X38" i="1"/>
  <c r="X37" i="1"/>
  <c r="X36" i="1"/>
  <c r="X35" i="1"/>
  <c r="X34" i="1"/>
  <c r="X33" i="1"/>
  <c r="X32" i="1"/>
  <c r="X31" i="1"/>
  <c r="X30" i="1"/>
  <c r="X29" i="1"/>
  <c r="X8" i="1"/>
  <c r="X28" i="1"/>
  <c r="X27" i="1"/>
  <c r="X26" i="1"/>
  <c r="X25" i="1"/>
  <c r="X24" i="1"/>
  <c r="X23" i="1"/>
  <c r="X22" i="1"/>
  <c r="X21" i="1"/>
  <c r="X20" i="1"/>
  <c r="X19" i="1"/>
  <c r="X18" i="1"/>
  <c r="X17" i="1"/>
  <c r="X16" i="1"/>
  <c r="X15" i="1"/>
  <c r="X14" i="1"/>
  <c r="X12" i="1"/>
  <c r="X11" i="1"/>
  <c r="X10" i="1"/>
  <c r="X9" i="1"/>
  <c r="T35" i="1" l="1"/>
  <c r="N61" i="1"/>
  <c r="O61" i="1" s="1"/>
  <c r="P61" i="1" s="1"/>
  <c r="Q61" i="1" s="1"/>
  <c r="R61" i="1" s="1"/>
  <c r="S61" i="1" s="1"/>
  <c r="T61" i="1" s="1"/>
  <c r="T12" i="1"/>
</calcChain>
</file>

<file path=xl/sharedStrings.xml><?xml version="1.0" encoding="utf-8"?>
<sst xmlns="http://schemas.openxmlformats.org/spreadsheetml/2006/main" count="1112" uniqueCount="342">
  <si>
    <t>Space Entertainment Center, LLC — Chart of Accounts</t>
  </si>
  <si>
    <t>Generated from P&amp;L and Balance Sheet — FY2022–FY2025 | Centuriuum Platform — Draft for Development Review</t>
  </si>
  <si>
    <t>Account Name</t>
  </si>
  <si>
    <t>Statement Type</t>
  </si>
  <si>
    <t>Level 1</t>
  </si>
  <si>
    <t>Level 2</t>
  </si>
  <si>
    <t>Level 3</t>
  </si>
  <si>
    <t>Level 4</t>
  </si>
  <si>
    <t>Level 5</t>
  </si>
  <si>
    <t>Level 6</t>
  </si>
  <si>
    <t>Level 7</t>
  </si>
  <si>
    <t>Level 8</t>
  </si>
  <si>
    <t>Level 9</t>
  </si>
  <si>
    <t>Level 10</t>
  </si>
  <si>
    <t>Level 11</t>
  </si>
  <si>
    <t>Level 12</t>
  </si>
  <si>
    <t>Hierarchy Path</t>
  </si>
  <si>
    <t>Classification Method</t>
  </si>
  <si>
    <t>PROFIT &amp; LOSS ACCOUNTS</t>
  </si>
  <si>
    <t xml:space="preserve">  Income</t>
  </si>
  <si>
    <t>INC-001</t>
  </si>
  <si>
    <t>Sales</t>
  </si>
  <si>
    <t>P&amp;L</t>
  </si>
  <si>
    <t>Total Liabilities and Equity</t>
  </si>
  <si>
    <t>Total Equity</t>
  </si>
  <si>
    <t>Net Income</t>
  </si>
  <si>
    <t>Pretax Income</t>
  </si>
  <si>
    <t>Operating Income</t>
  </si>
  <si>
    <t>Gross Profit</t>
  </si>
  <si>
    <t>Total Revenue</t>
  </si>
  <si>
    <t>Income</t>
  </si>
  <si>
    <t>Total Liabilities and Equity &gt; Total Equity &gt; Total Equity &gt; Net Income &gt; Pretax Income &gt; Operating Income &gt; Gross Profit &gt; Total Revenue &gt; Income &gt; Sales &gt; Sales</t>
  </si>
  <si>
    <t>Rule-Based</t>
  </si>
  <si>
    <t>INC-002</t>
  </si>
  <si>
    <t>Interest Income</t>
  </si>
  <si>
    <t>Total Liabilities and Equity &gt; Total Equity &gt; Total Equity &gt; Net Income &gt; Pretax Income &gt; Operating Income &gt; Gross Profit &gt; Total Revenue &gt; Income &gt; Interest Income &gt; Interest Income</t>
  </si>
  <si>
    <t>INC-003</t>
  </si>
  <si>
    <t>Discounts/Refunds Given</t>
  </si>
  <si>
    <t>Total Liabilities and Equity &gt; Total Equity &gt; Total Equity &gt; Net Income &gt; Pretax Income &gt; Operating Income &gt; Gross Profit &gt; Total Revenue &gt; Income &gt; Discounts/Refunds Given &gt; Discounts/Refunds Given</t>
  </si>
  <si>
    <t>INC-004</t>
  </si>
  <si>
    <t>Refunds to Customers</t>
  </si>
  <si>
    <t>Total Liabilities and Equity &gt; Total Equity &gt; Total Equity &gt; Net Income &gt; Pretax Income &gt; Operating Income &gt; Gross Profit &gt; Total Revenue &gt; Income &gt; Refunds to Customers &gt; Refunds to Customers</t>
  </si>
  <si>
    <t>INC-005</t>
  </si>
  <si>
    <t>Gain on Sale of Assets</t>
  </si>
  <si>
    <t>Total Liabilities and Equity &gt; Total Equity &gt; Total Equity &gt; Net Income &gt; Pretax Income &gt; Operating Income &gt; Gross Profit &gt; Total Revenue &gt; Income &gt; Gain on Sale of Assets &gt; Gain on Sale of Assets</t>
  </si>
  <si>
    <t>EXP-001</t>
  </si>
  <si>
    <t>Payroll Expenses</t>
  </si>
  <si>
    <t>Total Expenses</t>
  </si>
  <si>
    <t>Expenses</t>
  </si>
  <si>
    <t>Payroll and Labor</t>
  </si>
  <si>
    <t>Total Liabilities and Equity &gt; Total Equity &gt; Total Equity &gt; Net Income &gt; Pretax Income &gt; Operating Income &gt; Gross Profit &gt; Total Expenses &gt; Expenses &gt; Payroll and Labor &gt; Payroll Expenses &gt; Payroll Expenses</t>
  </si>
  <si>
    <t>EXP-002</t>
  </si>
  <si>
    <t>Payroll Processing Fees</t>
  </si>
  <si>
    <t>Total Liabilities and Equity &gt; Total Equity &gt; Total Equity &gt; Net Income &gt; Pretax Income &gt; Operating Income &gt; Gross Profit &gt; Total Expenses &gt; Expenses &gt; Payroll and Labor &gt; Payroll Processing Fees &gt; Payroll Processing Fees</t>
  </si>
  <si>
    <t>EXP-003</t>
  </si>
  <si>
    <t>Payroll Taxes</t>
  </si>
  <si>
    <t>Total Liabilities and Equity &gt; Total Equity &gt; Total Equity &gt; Net Income &gt; Pretax Income &gt; Operating Income &gt; Gross Profit &gt; Total Expenses &gt; Expenses &gt; Payroll and Labor &gt; Payroll Taxes &gt; Payroll Taxes</t>
  </si>
  <si>
    <t>EXP-004</t>
  </si>
  <si>
    <t>401K Expense</t>
  </si>
  <si>
    <t>Total Liabilities and Equity &gt; Total Equity &gt; Total Equity &gt; Net Income &gt; Pretax Income &gt; Operating Income &gt; Gross Profit &gt; Total Expenses &gt; Expenses &gt; Payroll and Labor &gt; 401K Expense &gt; 401K Expense</t>
  </si>
  <si>
    <t>EXP-005</t>
  </si>
  <si>
    <t>Employee Benefits</t>
  </si>
  <si>
    <t>Total Liabilities and Equity &gt; Total Equity &gt; Total Equity &gt; Net Income &gt; Pretax Income &gt; Operating Income &gt; Gross Profit &gt; Total Expenses &gt; Expenses &gt; Payroll and Labor &gt; Employee Benefits &gt; Employee Benefits</t>
  </si>
  <si>
    <t>EXP-006</t>
  </si>
  <si>
    <t>Worker's Compensation</t>
  </si>
  <si>
    <t>Total Liabilities and Equity &gt; Total Equity &gt; Total Equity &gt; Net Income &gt; Pretax Income &gt; Operating Income &gt; Gross Profit &gt; Total Expenses &gt; Expenses &gt; Payroll and Labor &gt; Worker's Compensation &gt; Worker's Compensation</t>
  </si>
  <si>
    <t>EXP-010</t>
  </si>
  <si>
    <t>Food and Beverage Expenses</t>
  </si>
  <si>
    <t>Cost of Sales</t>
  </si>
  <si>
    <t>Total Liabilities and Equity &gt; Total Equity &gt; Total Equity &gt; Net Income &gt; Pretax Income &gt; Operating Income &gt; Gross Profit &gt; Total Expenses &gt; Expenses &gt; Cost of Sales &gt; Food and Beverage Expenses &gt; Food and Beverage Expenses</t>
  </si>
  <si>
    <t>EXP-011</t>
  </si>
  <si>
    <t>Job Supplies</t>
  </si>
  <si>
    <t>Total Liabilities and Equity &gt; Total Equity &gt; Total Equity &gt; Net Income &gt; Pretax Income &gt; Operating Income &gt; Gross Profit &gt; Total Expenses &gt; Expenses &gt; Cost of Sales &gt; Job Supplies &gt; Job Supplies</t>
  </si>
  <si>
    <t>EXP-012</t>
  </si>
  <si>
    <t>Meals Tax</t>
  </si>
  <si>
    <t>Total Liabilities and Equity &gt; Total Equity &gt; Total Equity &gt; Net Income &gt; Pretax Income &gt; Operating Income &gt; Gross Profit &gt; Total Expenses &gt; Expenses &gt; Cost of Sales &gt; Meals Tax &gt; Meals Tax</t>
  </si>
  <si>
    <t>EXP-020</t>
  </si>
  <si>
    <t>Rent &amp; Lease</t>
  </si>
  <si>
    <t>Occupancy</t>
  </si>
  <si>
    <t>Rent and Lease</t>
  </si>
  <si>
    <t>Total Liabilities and Equity &gt; Total Equity &gt; Total Equity &gt; Net Income &gt; Pretax Income &gt; Operating Income &gt; Gross Profit &gt; Total Expenses &gt; Expenses &gt; Occupancy &gt; Rent and Lease &gt; Rent &amp; Lease</t>
  </si>
  <si>
    <t>EXP-021</t>
  </si>
  <si>
    <t>Real Estate Taxes</t>
  </si>
  <si>
    <t>Total Liabilities and Equity &gt; Total Equity &gt; Total Equity &gt; Net Income &gt; Pretax Income &gt; Operating Income &gt; Gross Profit &gt; Total Expenses &gt; Expenses &gt; Occupancy &gt; Real Estate Taxes &gt; Real Estate Taxes</t>
  </si>
  <si>
    <t>EXP-022</t>
  </si>
  <si>
    <t>Utilities</t>
  </si>
  <si>
    <t>Total Liabilities and Equity &gt; Total Equity &gt; Total Equity &gt; Net Income &gt; Pretax Income &gt; Operating Income &gt; Gross Profit &gt; Total Expenses &gt; Expenses &gt; Occupancy &gt; Utilities &gt; Utilities</t>
  </si>
  <si>
    <t>EXP-023</t>
  </si>
  <si>
    <t>Water &amp; Sewer</t>
  </si>
  <si>
    <t>Water and Sewer</t>
  </si>
  <si>
    <t>Total Liabilities and Equity &gt; Total Equity &gt; Total Equity &gt; Net Income &gt; Pretax Income &gt; Operating Income &gt; Gross Profit &gt; Total Expenses &gt; Expenses &gt; Occupancy &gt; Water and Sewer &gt; Water &amp; Sewer</t>
  </si>
  <si>
    <t>EXP-024</t>
  </si>
  <si>
    <t>Alarm</t>
  </si>
  <si>
    <t>Total Liabilities and Equity &gt; Total Equity &gt; Total Equity &gt; Net Income &gt; Pretax Income &gt; Operating Income &gt; Gross Profit &gt; Total Expenses &gt; Expenses &gt; Occupancy &gt; Alarm &gt; Alarm</t>
  </si>
  <si>
    <t>EXP-030</t>
  </si>
  <si>
    <t>Insurance</t>
  </si>
  <si>
    <t>Total Liabilities and Equity &gt; Total Equity &gt; Total Equity &gt; Net Income &gt; Pretax Income &gt; Operating Income &gt; Gross Profit &gt; Total Expenses &gt; Expenses &gt; Insurance &gt; Insurance &gt; Insurance</t>
  </si>
  <si>
    <t>EXP-040</t>
  </si>
  <si>
    <t>Advertising &amp; Marketing</t>
  </si>
  <si>
    <t>Sales and Marketing</t>
  </si>
  <si>
    <t>Advertising and Marketing</t>
  </si>
  <si>
    <t>Total Liabilities and Equity &gt; Total Equity &gt; Total Equity &gt; Net Income &gt; Pretax Income &gt; Operating Income &gt; Gross Profit &gt; Total Expenses &gt; Expenses &gt; Sales and Marketing &gt; Advertising and Marketing &gt; Advertising &amp; Marketing</t>
  </si>
  <si>
    <t>EXP-041</t>
  </si>
  <si>
    <t>Charitable Contributions</t>
  </si>
  <si>
    <t>Total Liabilities and Equity &gt; Total Equity &gt; Total Equity &gt; Net Income &gt; Pretax Income &gt; Operating Income &gt; Gross Profit &gt; Total Expenses &gt; Expenses &gt; Sales and Marketing &gt; Charitable Contributions &gt; Charitable Contributions</t>
  </si>
  <si>
    <t>EXP-042</t>
  </si>
  <si>
    <t>Meals &amp; Entertainment</t>
  </si>
  <si>
    <t>Meals and Entertainment</t>
  </si>
  <si>
    <t>Total Liabilities and Equity &gt; Total Equity &gt; Total Equity &gt; Net Income &gt; Pretax Income &gt; Operating Income &gt; Gross Profit &gt; Total Expenses &gt; Expenses &gt; Sales and Marketing &gt; Meals and Entertainment &gt; Meals &amp; Entertainment</t>
  </si>
  <si>
    <t>EXP-050</t>
  </si>
  <si>
    <t>Legal &amp; Professional Services</t>
  </si>
  <si>
    <t>General and Administrative</t>
  </si>
  <si>
    <t>Legal and Professional Services</t>
  </si>
  <si>
    <t>Total Liabilities and Equity &gt; Total Equity &gt; Total Equity &gt; Net Income &gt; Pretax Income &gt; Operating Income &gt; Gross Profit &gt; Total Expenses &gt; Expenses &gt; General and Administrative &gt; Legal and Professional Services &gt; Legal &amp; Professional Services</t>
  </si>
  <si>
    <t>EXP-051</t>
  </si>
  <si>
    <t>Office Supplies &amp; Software</t>
  </si>
  <si>
    <t>Office Supplies and Software</t>
  </si>
  <si>
    <t>Total Liabilities and Equity &gt; Total Equity &gt; Total Equity &gt; Net Income &gt; Pretax Income &gt; Operating Income &gt; Gross Profit &gt; Total Expenses &gt; Expenses &gt; General and Administrative &gt; Office Supplies and Software &gt; Office Supplies &amp; Software</t>
  </si>
  <si>
    <t>EXP-052</t>
  </si>
  <si>
    <t>Office / General Administrative Expenses</t>
  </si>
  <si>
    <t>General Administrative Expenses</t>
  </si>
  <si>
    <t>Total Liabilities and Equity &gt; Total Equity &gt; Total Equity &gt; Net Income &gt; Pretax Income &gt; Operating Income &gt; Gross Profit &gt; Total Expenses &gt; Expenses &gt; General and Administrative &gt; General Administrative Expenses &gt; Office / General Administrative Expenses</t>
  </si>
  <si>
    <t>EXP-053</t>
  </si>
  <si>
    <t>Subscriptions</t>
  </si>
  <si>
    <t>Total Liabilities and Equity &gt; Total Equity &gt; Total Equity &gt; Net Income &gt; Pretax Income &gt; Operating Income &gt; Gross Profit &gt; Total Expenses &gt; Expenses &gt; General and Administrative &gt; Subscriptions &gt; Subscriptions</t>
  </si>
  <si>
    <t>EXP-054</t>
  </si>
  <si>
    <t>Telephone</t>
  </si>
  <si>
    <t>Total Liabilities and Equity &gt; Total Equity &gt; Total Equity &gt; Net Income &gt; Pretax Income &gt; Operating Income &gt; Gross Profit &gt; Total Expenses &gt; Expenses &gt; General and Administrative &gt; Telephone &gt; Telephone</t>
  </si>
  <si>
    <t>EXP-055</t>
  </si>
  <si>
    <t>Bank Charges &amp; Fees</t>
  </si>
  <si>
    <t>Bank Charges and Fees</t>
  </si>
  <si>
    <t>Total Liabilities and Equity &gt; Total Equity &gt; Total Equity &gt; Net Income &gt; Pretax Income &gt; Operating Income &gt; Gross Profit &gt; Total Expenses &gt; Expenses &gt; General and Administrative &gt; Bank Charges and Fees &gt; Bank Charges &amp; Fees</t>
  </si>
  <si>
    <t>EXP-056</t>
  </si>
  <si>
    <t>Credit Card Bill</t>
  </si>
  <si>
    <t>Total Liabilities and Equity &gt; Total Equity &gt; Total Equity &gt; Net Income &gt; Pretax Income &gt; Operating Income &gt; Gross Profit &gt; Total Expenses &gt; Expenses &gt; General and Administrative &gt; Credit Card Bill &gt; Credit Card Bill</t>
  </si>
  <si>
    <t>EXP-057</t>
  </si>
  <si>
    <t>Credit Card Charges / Fees</t>
  </si>
  <si>
    <t>Credit Card Charges and Fees</t>
  </si>
  <si>
    <t>Total Liabilities and Equity &gt; Total Equity &gt; Total Equity &gt; Net Income &gt; Pretax Income &gt; Operating Income &gt; Gross Profit &gt; Total Expenses &gt; Expenses &gt; General and Administrative &gt; Credit Card Charges and Fees &gt; Credit Card Charges / Fees</t>
  </si>
  <si>
    <t>EXP-058</t>
  </si>
  <si>
    <t>Taxes &amp; Licenses</t>
  </si>
  <si>
    <t>Taxes and Licenses</t>
  </si>
  <si>
    <t>Total Liabilities and Equity &gt; Total Equity &gt; Total Equity &gt; Net Income &gt; Pretax Income &gt; Operating Income &gt; Gross Profit &gt; Total Expenses &gt; Expenses &gt; General and Administrative &gt; Taxes and Licenses &gt; Taxes &amp; Licenses</t>
  </si>
  <si>
    <t>EXP-060</t>
  </si>
  <si>
    <t>Car &amp; Truck</t>
  </si>
  <si>
    <t>Vehicle and Travel</t>
  </si>
  <si>
    <t>Car and Truck</t>
  </si>
  <si>
    <t>Total Liabilities and Equity &gt; Total Equity &gt; Total Equity &gt; Net Income &gt; Pretax Income &gt; Operating Income &gt; Gross Profit &gt; Total Expenses &gt; Expenses &gt; Vehicle and Travel &gt; Car and Truck &gt; Car &amp; Truck</t>
  </si>
  <si>
    <t>EXP-061</t>
  </si>
  <si>
    <t>Travel</t>
  </si>
  <si>
    <t>Total Liabilities and Equity &gt; Total Equity &gt; Total Equity &gt; Net Income &gt; Pretax Income &gt; Operating Income &gt; Gross Profit &gt; Total Expenses &gt; Expenses &gt; Vehicle and Travel &gt; Travel &gt; Travel</t>
  </si>
  <si>
    <t>EXP-070</t>
  </si>
  <si>
    <t>Repairs &amp; Maintenance</t>
  </si>
  <si>
    <t>Repairs and Maintenance</t>
  </si>
  <si>
    <t>Total Liabilities and Equity &gt; Total Equity &gt; Total Equity &gt; Net Income &gt; Pretax Income &gt; Operating Income &gt; Gross Profit &gt; Total Expenses &gt; Expenses &gt; Repairs and Maintenance &gt; Repairs and Maintenance &gt; Repairs &amp; Maintenance</t>
  </si>
  <si>
    <t>EXP-071</t>
  </si>
  <si>
    <t>Rubbish</t>
  </si>
  <si>
    <t>Rubbish Removal</t>
  </si>
  <si>
    <t>Total Liabilities and Equity &gt; Total Equity &gt; Total Equity &gt; Net Income &gt; Pretax Income &gt; Operating Income &gt; Gross Profit &gt; Total Expenses &gt; Expenses &gt; Repairs and Maintenance &gt; Rubbish Removal &gt; Rubbish</t>
  </si>
  <si>
    <t>EXP-080</t>
  </si>
  <si>
    <t>Depreciation</t>
  </si>
  <si>
    <t>Non-Cash and Below-Line</t>
  </si>
  <si>
    <t>Total Liabilities and Equity &gt; Total Equity &gt; Total Equity &gt; Net Income &gt; Pretax Income &gt; Operating Income &gt; Gross Profit &gt; Total Expenses &gt; Expenses &gt; Non-Cash and Below-Line &gt; Depreciation &gt; Depreciation</t>
  </si>
  <si>
    <t>EXP-081</t>
  </si>
  <si>
    <t>Interest Paid</t>
  </si>
  <si>
    <t>Total Liabilities and Equity &gt; Total Equity &gt; Total Equity &gt; Net Income &gt; Pretax Income &gt; Operating Income &gt; Gross Profit &gt; Total Expenses &gt; Expenses &gt; Non-Cash and Below-Line &gt; Interest Paid &gt; Interest Paid</t>
  </si>
  <si>
    <t>EXP-082</t>
  </si>
  <si>
    <t>Education</t>
  </si>
  <si>
    <t>Total Liabilities and Equity &gt; Total Equity &gt; Total Equity &gt; Net Income &gt; Pretax Income &gt; Operating Income &gt; Gross Profit &gt; Total Expenses &gt; Expenses &gt; Non-Cash and Below-Line &gt; Education &gt; Education</t>
  </si>
  <si>
    <t>AI-Inferred</t>
  </si>
  <si>
    <t>BS-001</t>
  </si>
  <si>
    <t>Provident Bank Money Market Checking</t>
  </si>
  <si>
    <t>Balance Sheet</t>
  </si>
  <si>
    <t>Total Assets</t>
  </si>
  <si>
    <t>Current Assets</t>
  </si>
  <si>
    <t>Bank Accounts</t>
  </si>
  <si>
    <t>Total Assets &gt; Total Assets &gt; Current Assets &gt; Bank Accounts &gt; Provident Bank Money Market Checking &gt; Provident Bank Money Market Checking</t>
  </si>
  <si>
    <t>BS-002</t>
  </si>
  <si>
    <t>Business Checking (7454)</t>
  </si>
  <si>
    <t>Total Assets &gt; Total Assets &gt; Current Assets &gt; Bank Accounts &gt; Business Checking (7454) &gt; Business Checking (7454)</t>
  </si>
  <si>
    <t>BS-003</t>
  </si>
  <si>
    <t>Business Money Market</t>
  </si>
  <si>
    <t>Total Assets &gt; Total Assets &gt; Current Assets &gt; Bank Accounts &gt; Business Money Market &gt; Business Money Market</t>
  </si>
  <si>
    <t>BS-004</t>
  </si>
  <si>
    <t>Provident Bank Business Checking</t>
  </si>
  <si>
    <t>Total Assets &gt; Total Assets &gt; Current Assets &gt; Bank Accounts &gt; Provident Bank Business Checking &gt; Provident Bank Business Checking</t>
  </si>
  <si>
    <t>BS-005</t>
  </si>
  <si>
    <t>Space Center Savings</t>
  </si>
  <si>
    <t>Total Assets &gt; Total Assets &gt; Current Assets &gt; Bank Accounts &gt; Space Center Savings &gt; Space Center Savings</t>
  </si>
  <si>
    <t>BS-010</t>
  </si>
  <si>
    <t>Inventory</t>
  </si>
  <si>
    <t>Other Current Assets</t>
  </si>
  <si>
    <t>Total Assets &gt; Total Assets &gt; Current Assets &gt; Other Current Assets &gt; Inventory &gt; Inventory</t>
  </si>
  <si>
    <t>BS-011</t>
  </si>
  <si>
    <t>Loans to MTP</t>
  </si>
  <si>
    <t>Total Assets &gt; Total Assets &gt; Current Assets &gt; Other Current Assets &gt; Loans to MTP &gt; Loans to MTP</t>
  </si>
  <si>
    <t>BS-012</t>
  </si>
  <si>
    <t>Prepaid Payroll</t>
  </si>
  <si>
    <t>Total Assets &gt; Total Assets &gt; Current Assets &gt; Other Current Assets &gt; Prepaid Payroll &gt; Prepaid Payroll</t>
  </si>
  <si>
    <t>BS-013</t>
  </si>
  <si>
    <t>Due from ERTC</t>
  </si>
  <si>
    <t>Total Assets &gt; Total Assets &gt; Current Assets &gt; Other Current Assets &gt; Due from ERTC &gt; Due from ERTC</t>
  </si>
  <si>
    <t>BS-020</t>
  </si>
  <si>
    <t>Machinery &amp; Equipment</t>
  </si>
  <si>
    <t>Fixed Assets</t>
  </si>
  <si>
    <t>Machinery and Equipment</t>
  </si>
  <si>
    <t>Machinery and Equipment (Gross)</t>
  </si>
  <si>
    <t>Total Assets &gt; Total Assets &gt; Fixed Assets &gt; Machinery and Equipment &gt; Machinery and Equipment (Gross) &gt; Machinery &amp; Equipment</t>
  </si>
  <si>
    <t>BS-021</t>
  </si>
  <si>
    <t>Accumulated Depreciation - M&amp;E</t>
  </si>
  <si>
    <t>Total Assets &gt; Total Assets &gt; Fixed Assets &gt; Machinery and Equipment &gt; Accumulated Depreciation - M&amp;E &gt; Accumulated Depreciation - M&amp;E</t>
  </si>
  <si>
    <t>BS-022</t>
  </si>
  <si>
    <t>Furniture &amp; Fixtures</t>
  </si>
  <si>
    <t>Furniture and Fixtures</t>
  </si>
  <si>
    <t>Furniture and Fixtures (Gross)</t>
  </si>
  <si>
    <t>Total Assets &gt; Total Assets &gt; Fixed Assets &gt; Furniture and Fixtures &gt; Furniture and Fixtures (Gross) &gt; Furniture &amp; Fixtures</t>
  </si>
  <si>
    <t>BS-023</t>
  </si>
  <si>
    <t>Accumulated Depreciation - F&amp;F</t>
  </si>
  <si>
    <t>Total Assets &gt; Total Assets &gt; Fixed Assets &gt; Furniture and Fixtures &gt; Accumulated Depreciation - F&amp;F &gt; Accumulated Depreciation - F&amp;F</t>
  </si>
  <si>
    <t>BS-024</t>
  </si>
  <si>
    <t>Leasehold Improvements</t>
  </si>
  <si>
    <t>Leasehold Improvements (Gross)</t>
  </si>
  <si>
    <t>Total Assets &gt; Total Assets &gt; Fixed Assets &gt; Leasehold Improvements &gt; Leasehold Improvements (Gross) &gt; Leasehold Improvements</t>
  </si>
  <si>
    <t>BS-025</t>
  </si>
  <si>
    <t>Accumulated Depreciation - Improvements</t>
  </si>
  <si>
    <t>Total Assets &gt; Total Assets &gt; Fixed Assets &gt; Leasehold Improvements &gt; Accumulated Depreciation - Improvements &gt; Accumulated Depreciation - Improvements</t>
  </si>
  <si>
    <t>BS-026</t>
  </si>
  <si>
    <t>Vehicle</t>
  </si>
  <si>
    <t>Vehicles</t>
  </si>
  <si>
    <t>Vehicle (Gross)</t>
  </si>
  <si>
    <t>Total Assets &gt; Total Assets &gt; Fixed Assets &gt; Vehicles &gt; Vehicle (Gross) &gt; Vehicle</t>
  </si>
  <si>
    <t>BS-027</t>
  </si>
  <si>
    <t>Accumulated Depreciation - Vehicle</t>
  </si>
  <si>
    <t>Total Assets &gt; Total Assets &gt; Fixed Assets &gt; Vehicles &gt; Accumulated Depreciation - Vehicle &gt; Accumulated Depreciation - Vehicle</t>
  </si>
  <si>
    <t>BS-028</t>
  </si>
  <si>
    <t>Land Improvements</t>
  </si>
  <si>
    <t>Total Assets &gt; Total Assets &gt; Fixed Assets &gt; Land Improvements &gt; Land Improvements &gt; Land Improvements</t>
  </si>
  <si>
    <t>BS-029</t>
  </si>
  <si>
    <t>Amortization of Financing Costs</t>
  </si>
  <si>
    <t>Other Fixed Assets</t>
  </si>
  <si>
    <t>Total Assets &gt; Total Assets &gt; Fixed Assets &gt; Other Fixed Assets &gt; Amortization of Financing Costs &gt; Amortization of Financing Costs</t>
  </si>
  <si>
    <t>BS-030</t>
  </si>
  <si>
    <t>Other Long-term Assets</t>
  </si>
  <si>
    <t>Other Assets</t>
  </si>
  <si>
    <t>Other Long-Term Assets</t>
  </si>
  <si>
    <t>Total Assets &gt; Total Assets &gt; Other Assets &gt; Other Long-Term Assets &gt; Other Long-term Assets &gt; Other Long-term Assets</t>
  </si>
  <si>
    <t>BS-031</t>
  </si>
  <si>
    <t>Construction in Progress</t>
  </si>
  <si>
    <t>Total Assets &gt; Total Assets &gt; Other Assets &gt; Other Long-Term Assets &gt; Construction in Progress &gt; Construction in Progress</t>
  </si>
  <si>
    <t>BS-040</t>
  </si>
  <si>
    <t>Capital One - Credit Card</t>
  </si>
  <si>
    <t>Total Liabilities</t>
  </si>
  <si>
    <t>Current Liabilities</t>
  </si>
  <si>
    <t>Credit Cards</t>
  </si>
  <si>
    <t>Total Liabilities and Equity &gt; Total Liabilities &gt; Current Liabilities &gt; Credit Cards &gt; Capital One - Credit Card &gt; Capital One - Credit Card</t>
  </si>
  <si>
    <t>BS-041</t>
  </si>
  <si>
    <t>Capital One Credit Card 2</t>
  </si>
  <si>
    <t>Total Liabilities and Equity &gt; Total Liabilities &gt; Current Liabilities &gt; Credit Cards &gt; Capital One Credit Card 2 &gt; Capital One Credit Card 2</t>
  </si>
  <si>
    <t>BS-042</t>
  </si>
  <si>
    <t>Credit Card Payable - BJs</t>
  </si>
  <si>
    <t>Total Liabilities and Equity &gt; Total Liabilities &gt; Current Liabilities &gt; Credit Cards &gt; Credit Card Payable - BJs &gt; Credit Card Payable - BJs</t>
  </si>
  <si>
    <t>BS-043</t>
  </si>
  <si>
    <t>Sams Credit Card</t>
  </si>
  <si>
    <t>Total Liabilities and Equity &gt; Total Liabilities &gt; Current Liabilities &gt; Credit Cards &gt; Sams Credit Card &gt; Sams Credit Card</t>
  </si>
  <si>
    <t>BS-044</t>
  </si>
  <si>
    <t>Chase Ink Credit Card</t>
  </si>
  <si>
    <t>Total Liabilities and Equity &gt; Total Liabilities &gt; Current Liabilities &gt; Credit Cards &gt; Chase Ink Credit Card &gt; Chase Ink Credit Card</t>
  </si>
  <si>
    <t>BS-045</t>
  </si>
  <si>
    <t>Credit Card Payable - Capital One</t>
  </si>
  <si>
    <t>Total Liabilities and Equity &gt; Total Liabilities &gt; Current Liabilities &gt; Credit Cards &gt; Credit Card Payable - Capital One &gt; Credit Card Payable - Capital One</t>
  </si>
  <si>
    <t>BS-046</t>
  </si>
  <si>
    <t>Credit Card Payable - Sams Club</t>
  </si>
  <si>
    <t>Total Liabilities and Equity &gt; Total Liabilities &gt; Current Liabilities &gt; Credit Cards &gt; Credit Card Payable - Sams Club &gt; Credit Card Payable - Sams Club</t>
  </si>
  <si>
    <t>BS-047</t>
  </si>
  <si>
    <t>Credit Card Payment</t>
  </si>
  <si>
    <t>Total Liabilities and Equity &gt; Total Liabilities &gt; Current Liabilities &gt; Credit Cards &gt; Credit Card Payment &gt; Credit Card Payment</t>
  </si>
  <si>
    <t>BS-048</t>
  </si>
  <si>
    <t>Sams Club Credit Card</t>
  </si>
  <si>
    <t>Total Liabilities and Equity &gt; Total Liabilities &gt; Current Liabilities &gt; Credit Cards &gt; Sams Club Credit Card &gt; Sams Club Credit Card</t>
  </si>
  <si>
    <t>BS-050</t>
  </si>
  <si>
    <t>Accrued Meals Tax</t>
  </si>
  <si>
    <t>Other Current Liabilities</t>
  </si>
  <si>
    <t>Total Liabilities and Equity &gt; Total Liabilities &gt; Current Liabilities &gt; Other Current Liabilities &gt; Accrued Meals Tax &gt; Accrued Meals Tax</t>
  </si>
  <si>
    <t>BS-051</t>
  </si>
  <si>
    <t>Loan Payable - Officer</t>
  </si>
  <si>
    <t>Total Liabilities and Equity &gt; Total Liabilities &gt; Current Liabilities &gt; Other Current Liabilities &gt; Loan Payable - Officer &gt; Loan Payable - Officer</t>
  </si>
  <si>
    <t>BS-052</t>
  </si>
  <si>
    <t>Loan Payable from MTP</t>
  </si>
  <si>
    <t>Total Liabilities and Equity &gt; Total Liabilities &gt; Current Liabilities &gt; Other Current Liabilities &gt; Loan Payable from MTP &gt; Loan Payable from MTP</t>
  </si>
  <si>
    <t>BS-053</t>
  </si>
  <si>
    <t>Loan Payable - Florian Realty LLC</t>
  </si>
  <si>
    <t>Total Liabilities and Equity &gt; Total Liabilities &gt; Current Liabilities &gt; Other Current Liabilities &gt; Loan Payable - Florian Realty LLC &gt; Loan Payable - Florian Realty LLC</t>
  </si>
  <si>
    <t>BS-054</t>
  </si>
  <si>
    <t>Loan Payable - Government EIDL</t>
  </si>
  <si>
    <t>Total Liabilities and Equity &gt; Total Liabilities &gt; Current Liabilities &gt; Other Current Liabilities &gt; Loan Payable - Government EIDL &gt; Loan Payable - Government EIDL</t>
  </si>
  <si>
    <t>BS-055</t>
  </si>
  <si>
    <t>Loan Payable - PPP Loan</t>
  </si>
  <si>
    <t>Total Liabilities and Equity &gt; Total Liabilities &gt; Current Liabilities &gt; Other Current Liabilities &gt; Loan Payable - PPP Loan &gt; Loan Payable - PPP Loan</t>
  </si>
  <si>
    <t>BS-056</t>
  </si>
  <si>
    <t>Loan Payable - State of NH</t>
  </si>
  <si>
    <t>Total Liabilities and Equity &gt; Total Liabilities &gt; Current Liabilities &gt; Other Current Liabilities &gt; Loan Payable - State of NH &gt; Loan Payable - State of NH</t>
  </si>
  <si>
    <t>BS-060</t>
  </si>
  <si>
    <t>Government Loan Payable - SBA</t>
  </si>
  <si>
    <t>Long-Term Liabilities</t>
  </si>
  <si>
    <t>Long-Term Loans</t>
  </si>
  <si>
    <t>Total Liabilities and Equity &gt; Total Liabilities &gt; Long-Term Liabilities &gt; Long-Term Loans &gt; Government Loan Payable - SBA &gt; Government Loan Payable - SBA</t>
  </si>
  <si>
    <t>BS-061</t>
  </si>
  <si>
    <t>Loan Payable - Provident Bank</t>
  </si>
  <si>
    <t>Total Liabilities and Equity &gt; Total Liabilities &gt; Long-Term Liabilities &gt; Long-Term Loans &gt; Loan Payable - Provident Bank &gt; Loan Payable - Provident Bank</t>
  </si>
  <si>
    <t>BS-062</t>
  </si>
  <si>
    <t>Loan Payable - Porsche</t>
  </si>
  <si>
    <t>Total Liabilities and Equity &gt; Total Liabilities &gt; Long-Term Liabilities &gt; Long-Term Loans &gt; Loan Payable - Porsche &gt; Loan Payable - Porsche</t>
  </si>
  <si>
    <t>BS-063</t>
  </si>
  <si>
    <t>Loan Payable - Betson Enterprises</t>
  </si>
  <si>
    <t>Total Liabilities and Equity &gt; Total Liabilities &gt; Long-Term Liabilities &gt; Long-Term Loans &gt; Loan Payable - Betson Enterprises &gt; Loan Payable - Betson Enterprises</t>
  </si>
  <si>
    <t>BS-064</t>
  </si>
  <si>
    <t>Loan Payable - Betson Enterprises II</t>
  </si>
  <si>
    <t>Total Liabilities and Equity &gt; Total Liabilities &gt; Long-Term Liabilities &gt; Long-Term Loans &gt; Loan Payable - Betson Enterprises II &gt; Loan Payable - Betson Enterprises II</t>
  </si>
  <si>
    <t>BS-070</t>
  </si>
  <si>
    <t>Retained Earnings</t>
  </si>
  <si>
    <t>Equity</t>
  </si>
  <si>
    <t>Total Liabilities and Equity &gt; Total Equity &gt; Total Equity &gt; Equity &gt; Retained Earnings &gt; Retained Earnings</t>
  </si>
  <si>
    <t>BS-071</t>
  </si>
  <si>
    <t>Total Liabilities and Equity &gt; Total Equity &gt; Total Equity &gt; Equity &gt; Net Income &gt; Net Income</t>
  </si>
  <si>
    <t>Account Number</t>
  </si>
  <si>
    <t>System ID</t>
  </si>
  <si>
    <t>Acccount ID and Name</t>
  </si>
  <si>
    <t>Notes on columns are in row 4</t>
  </si>
  <si>
    <t>I think we should have a system ID to help when we have duplicated items on a P&amp;L and balance sheet. This will help us tell the difference and appropreiately classify them.</t>
  </si>
  <si>
    <t>This will be blank when no account number is present</t>
  </si>
  <si>
    <t>Pulled from P&amp;L/GL</t>
  </si>
  <si>
    <t xml:space="preserve">This is Number + Name when Number is available. Otherwise, just Name. Also, we need to solve for potential duplicates  ("Payroll" account on both P&amp;L and BS). Maybe if there is a duplicated account, it brings the next parent in the hierarchy that is different? </t>
  </si>
  <si>
    <t>AI/ System driven classifcation</t>
  </si>
  <si>
    <t>I don't think we need this column, but just putting here in case you think a source or something is helpful from a dev standpoint</t>
  </si>
  <si>
    <t>Adjusted Name</t>
  </si>
  <si>
    <t>Defaulted to the same name as system calculated in the system, but allow for someone to edit the display name as needed. Make this what shows in the reports</t>
  </si>
  <si>
    <t>Adjusted Hierarchy</t>
  </si>
  <si>
    <t>Open to thoughts, but not sure the best way to present for the UI on an adjusted hierachy. Brokers/whoever may want to adjust the hierarchy, and it would be good to have the system hierarchy,a nd then the broker's hierarchy. Maybe we have the 15 levels duplicated and only present back broker level ones? I just dont know if having the broker edit the actual hierachy could cause issues potentially and it woudl be good to have something to revert back to.</t>
  </si>
  <si>
    <t>Level 13</t>
  </si>
  <si>
    <t>Level 14</t>
  </si>
  <si>
    <t>Level 15</t>
  </si>
  <si>
    <t>AI/ System driven classifcation. Should we repeat prior value if blank? Not sure best way for table, but I assume repeating prior value to fill the table would be best from a visualization standpoint.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</si>
</sst>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ont>
    <font>
      <i/>
      <sz val="10"/>
      <color rgb="FFFFFFFF"/>
      <name val="Arial"/>
    </font>
    <font>
      <b/>
      <sz val="10"/>
      <color rgb="FFFFFFFF"/>
      <name val="Arial"/>
    </font>
    <font>
      <b/>
      <sz val="11"/>
      <color rgb="FFFFFFFF"/>
      <name val="Arial"/>
    </font>
    <font>
      <sz val="9"/>
      <name val="Arial"/>
    </font>
    <font>
      <i/>
      <sz val="8"/>
      <color rgb="FF404040"/>
      <name val="Arial"/>
    </font>
    <font>
      <i/>
      <sz val="10"/>
      <name val="Arial"/>
      <family val="2"/>
    </font>
    <font>
      <b/>
      <sz val="10"/>
      <color rgb="FFFFFFFF"/>
      <name val="Arial"/>
      <family val="2"/>
    </font>
    <font>
      <sz val="8"/>
      <name val="Calibri"/>
      <family val="2"/>
      <scheme val="minor"/>
    </font>
  </fonts>
  <fills count="10">
    <fill>
      <patternFill patternType="none"/>
    </fill>
    <fill>
      <patternFill patternType="gray125"/>
    </fill>
    <fill>
      <patternFill patternType="solid">
        <fgColor rgb="FF1F3864"/>
        <bgColor rgb="FF1F3864"/>
      </patternFill>
    </fill>
    <fill>
      <patternFill patternType="solid">
        <fgColor rgb="FF595959"/>
        <bgColor rgb="FF595959"/>
      </patternFill>
    </fill>
    <fill>
      <patternFill patternType="solid">
        <fgColor rgb="FF2F5496"/>
        <bgColor rgb="FF2F5496"/>
      </patternFill>
    </fill>
    <fill>
      <patternFill patternType="solid">
        <fgColor rgb="FFE2EFDA"/>
        <bgColor rgb="FFE2EFDA"/>
      </patternFill>
    </fill>
    <fill>
      <patternFill patternType="solid">
        <fgColor rgb="FFFFF2CC"/>
        <bgColor rgb="FFFFF2CC"/>
      </patternFill>
    </fill>
    <fill>
      <patternFill patternType="solid">
        <fgColor rgb="FFD9E1F2"/>
        <bgColor rgb="FFD9E1F2"/>
      </patternFill>
    </fill>
    <fill>
      <patternFill patternType="solid">
        <fgColor rgb="FFFCE4D6"/>
        <bgColor rgb="FFFCE4D6"/>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5" borderId="1" xfId="0" applyFont="1" applyFill="1" applyBorder="1" applyAlignment="1">
      <alignment vertical="center"/>
    </xf>
    <xf numFmtId="0" fontId="6" fillId="5" borderId="1" xfId="0" applyFont="1" applyFill="1" applyBorder="1" applyAlignment="1">
      <alignment vertical="center"/>
    </xf>
    <xf numFmtId="0" fontId="5" fillId="6" borderId="1" xfId="0" applyFont="1" applyFill="1" applyBorder="1" applyAlignment="1">
      <alignment horizontal="center" vertical="center"/>
    </xf>
    <xf numFmtId="0" fontId="5" fillId="6" borderId="1" xfId="0" applyFont="1" applyFill="1" applyBorder="1" applyAlignment="1">
      <alignment vertical="center"/>
    </xf>
    <xf numFmtId="0" fontId="6" fillId="6" borderId="1" xfId="0" applyFont="1" applyFill="1" applyBorder="1" applyAlignment="1">
      <alignment vertical="center"/>
    </xf>
    <xf numFmtId="0" fontId="5" fillId="7" borderId="1" xfId="0" applyFont="1" applyFill="1" applyBorder="1" applyAlignment="1">
      <alignment horizontal="center" vertical="center"/>
    </xf>
    <xf numFmtId="0" fontId="5" fillId="7" borderId="1" xfId="0" applyFont="1" applyFill="1" applyBorder="1" applyAlignment="1">
      <alignment vertical="center"/>
    </xf>
    <xf numFmtId="0" fontId="6" fillId="7" borderId="1" xfId="0" applyFont="1" applyFill="1" applyBorder="1" applyAlignment="1">
      <alignment vertical="center"/>
    </xf>
    <xf numFmtId="0" fontId="5" fillId="8" borderId="1" xfId="0" applyFont="1" applyFill="1" applyBorder="1" applyAlignment="1">
      <alignment horizontal="center" vertical="center"/>
    </xf>
    <xf numFmtId="0" fontId="5" fillId="8" borderId="1" xfId="0" applyFont="1" applyFill="1" applyBorder="1" applyAlignment="1">
      <alignment vertical="center"/>
    </xf>
    <xf numFmtId="0" fontId="6" fillId="8" borderId="1" xfId="0" applyFont="1" applyFill="1" applyBorder="1" applyAlignment="1">
      <alignment vertical="center"/>
    </xf>
    <xf numFmtId="0" fontId="3" fillId="4" borderId="4" xfId="0" applyFont="1" applyFill="1" applyBorder="1" applyAlignment="1">
      <alignment vertical="center"/>
    </xf>
    <xf numFmtId="0" fontId="4" fillId="2" borderId="2" xfId="0" applyFont="1" applyFill="1" applyBorder="1" applyAlignment="1">
      <alignment vertical="center"/>
    </xf>
    <xf numFmtId="0" fontId="3" fillId="4" borderId="3" xfId="0" applyFont="1" applyFill="1" applyBorder="1" applyAlignment="1">
      <alignmen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8" fillId="2" borderId="1" xfId="0" applyFont="1" applyFill="1" applyBorder="1" applyAlignment="1">
      <alignment horizontal="center" vertical="center" wrapText="1"/>
    </xf>
    <xf numFmtId="0" fontId="7" fillId="9" borderId="3" xfId="0" applyFont="1" applyFill="1" applyBorder="1" applyAlignment="1">
      <alignment horizontal="center" vertical="center"/>
    </xf>
    <xf numFmtId="0" fontId="2" fillId="3" borderId="3" xfId="0" applyFont="1" applyFill="1" applyBorder="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
  <sheetViews>
    <sheetView tabSelected="1" workbookViewId="0">
      <pane ySplit="5" topLeftCell="A6" activePane="bottomLeft" state="frozen"/>
      <selection pane="bottomLeft" activeCell="C14" sqref="C14"/>
    </sheetView>
  </sheetViews>
  <sheetFormatPr defaultRowHeight="14.4" x14ac:dyDescent="0.3"/>
  <cols>
    <col min="1" max="2" width="14" customWidth="1"/>
    <col min="3" max="4" width="38" customWidth="1"/>
    <col min="5" max="5" width="16" customWidth="1"/>
    <col min="6" max="20" width="28" customWidth="1"/>
    <col min="21" max="21" width="60" customWidth="1"/>
    <col min="22" max="23" width="22" customWidth="1"/>
    <col min="24" max="24" width="20" customWidth="1"/>
  </cols>
  <sheetData>
    <row r="1" spans="1:24" ht="30" customHeight="1" x14ac:dyDescent="0.3">
      <c r="A1" s="22" t="s">
        <v>0</v>
      </c>
      <c r="B1" s="22"/>
      <c r="C1" s="22"/>
      <c r="D1" s="22"/>
      <c r="E1" s="22"/>
      <c r="F1" s="22"/>
      <c r="G1" s="22"/>
      <c r="H1" s="22"/>
      <c r="I1" s="22"/>
      <c r="J1" s="22"/>
      <c r="K1" s="22"/>
      <c r="L1" s="22"/>
      <c r="M1" s="22"/>
      <c r="N1" s="22"/>
      <c r="O1" s="22"/>
      <c r="P1" s="22"/>
      <c r="Q1" s="22"/>
      <c r="R1" s="22"/>
      <c r="S1" s="22"/>
      <c r="T1" s="22"/>
      <c r="U1" s="22"/>
      <c r="V1" s="22"/>
      <c r="W1" s="22"/>
      <c r="X1" s="22"/>
    </row>
    <row r="2" spans="1:24" ht="18" customHeight="1" x14ac:dyDescent="0.3">
      <c r="A2" s="21" t="s">
        <v>1</v>
      </c>
      <c r="B2" s="21"/>
      <c r="C2" s="21"/>
      <c r="D2" s="21"/>
      <c r="E2" s="21"/>
      <c r="F2" s="21"/>
      <c r="G2" s="21"/>
      <c r="H2" s="21"/>
      <c r="I2" s="21"/>
      <c r="J2" s="21"/>
      <c r="K2" s="21"/>
      <c r="L2" s="21"/>
      <c r="M2" s="21"/>
      <c r="N2" s="21"/>
      <c r="O2" s="21"/>
      <c r="P2" s="21"/>
      <c r="Q2" s="21"/>
      <c r="R2" s="21"/>
      <c r="S2" s="21"/>
      <c r="T2" s="21"/>
      <c r="U2" s="21"/>
      <c r="V2" s="21"/>
      <c r="W2" s="21"/>
      <c r="X2" s="21"/>
    </row>
    <row r="3" spans="1:24" ht="18" customHeight="1" x14ac:dyDescent="0.3">
      <c r="A3" s="18" t="s">
        <v>327</v>
      </c>
      <c r="B3" s="17"/>
      <c r="C3" s="17"/>
      <c r="D3" s="17"/>
      <c r="E3" s="17"/>
      <c r="F3" s="17"/>
      <c r="G3" s="17"/>
      <c r="H3" s="17"/>
      <c r="I3" s="17"/>
      <c r="J3" s="17"/>
      <c r="K3" s="17"/>
      <c r="L3" s="17"/>
      <c r="M3" s="17"/>
      <c r="N3" s="17"/>
      <c r="O3" s="17"/>
      <c r="P3" s="17"/>
      <c r="Q3" s="17"/>
      <c r="R3" s="17"/>
      <c r="S3" s="17"/>
      <c r="T3" s="17"/>
      <c r="U3" s="17"/>
      <c r="V3" s="17"/>
      <c r="W3" s="17"/>
      <c r="X3" s="17"/>
    </row>
    <row r="4" spans="1:24" ht="18" customHeight="1" x14ac:dyDescent="0.3">
      <c r="A4" s="17" t="s">
        <v>328</v>
      </c>
      <c r="B4" s="17" t="s">
        <v>329</v>
      </c>
      <c r="C4" s="17" t="s">
        <v>330</v>
      </c>
      <c r="D4" s="17" t="s">
        <v>331</v>
      </c>
      <c r="E4" s="17" t="s">
        <v>332</v>
      </c>
      <c r="F4" s="17" t="s">
        <v>332</v>
      </c>
      <c r="G4" s="17" t="s">
        <v>332</v>
      </c>
      <c r="H4" s="17" t="s">
        <v>332</v>
      </c>
      <c r="I4" s="17" t="s">
        <v>332</v>
      </c>
      <c r="J4" s="17" t="s">
        <v>332</v>
      </c>
      <c r="K4" s="17" t="s">
        <v>332</v>
      </c>
      <c r="L4" s="17" t="s">
        <v>332</v>
      </c>
      <c r="M4" s="17" t="s">
        <v>332</v>
      </c>
      <c r="N4" s="17" t="s">
        <v>332</v>
      </c>
      <c r="O4" s="17" t="s">
        <v>332</v>
      </c>
      <c r="P4" s="17" t="s">
        <v>332</v>
      </c>
      <c r="Q4" s="17" t="s">
        <v>332</v>
      </c>
      <c r="R4" s="20" t="s">
        <v>341</v>
      </c>
      <c r="S4" s="17" t="s">
        <v>332</v>
      </c>
      <c r="T4" s="17" t="s">
        <v>332</v>
      </c>
      <c r="U4" s="17" t="s">
        <v>332</v>
      </c>
      <c r="V4" s="17" t="s">
        <v>333</v>
      </c>
      <c r="W4" s="17" t="s">
        <v>337</v>
      </c>
      <c r="X4" s="17" t="s">
        <v>335</v>
      </c>
    </row>
    <row r="5" spans="1:24" ht="22.05" customHeight="1" x14ac:dyDescent="0.3">
      <c r="A5" s="1" t="s">
        <v>325</v>
      </c>
      <c r="B5" s="1" t="s">
        <v>324</v>
      </c>
      <c r="C5" s="1" t="s">
        <v>2</v>
      </c>
      <c r="D5" s="1" t="s">
        <v>326</v>
      </c>
      <c r="E5" s="1" t="s">
        <v>3</v>
      </c>
      <c r="F5" s="1" t="s">
        <v>4</v>
      </c>
      <c r="G5" s="1" t="s">
        <v>5</v>
      </c>
      <c r="H5" s="1" t="s">
        <v>6</v>
      </c>
      <c r="I5" s="1" t="s">
        <v>7</v>
      </c>
      <c r="J5" s="1" t="s">
        <v>8</v>
      </c>
      <c r="K5" s="1" t="s">
        <v>9</v>
      </c>
      <c r="L5" s="1" t="s">
        <v>10</v>
      </c>
      <c r="M5" s="1" t="s">
        <v>11</v>
      </c>
      <c r="N5" s="1" t="s">
        <v>12</v>
      </c>
      <c r="O5" s="1" t="s">
        <v>13</v>
      </c>
      <c r="P5" s="1" t="s">
        <v>14</v>
      </c>
      <c r="Q5" s="1" t="s">
        <v>15</v>
      </c>
      <c r="R5" s="1" t="s">
        <v>338</v>
      </c>
      <c r="S5" s="1" t="s">
        <v>339</v>
      </c>
      <c r="T5" s="1" t="s">
        <v>340</v>
      </c>
      <c r="U5" s="1" t="s">
        <v>16</v>
      </c>
      <c r="V5" s="1" t="s">
        <v>17</v>
      </c>
      <c r="W5" s="19" t="s">
        <v>336</v>
      </c>
      <c r="X5" s="19" t="s">
        <v>334</v>
      </c>
    </row>
    <row r="6" spans="1:24" ht="16.05" customHeight="1" x14ac:dyDescent="0.3">
      <c r="A6" s="15" t="s">
        <v>18</v>
      </c>
      <c r="B6" s="15"/>
      <c r="C6" s="15"/>
      <c r="D6" s="15"/>
      <c r="E6" s="15"/>
      <c r="F6" s="15"/>
      <c r="G6" s="15"/>
      <c r="H6" s="15"/>
      <c r="I6" s="15"/>
      <c r="J6" s="15"/>
      <c r="K6" s="15"/>
      <c r="L6" s="15"/>
      <c r="M6" s="15"/>
      <c r="N6" s="15"/>
      <c r="O6" s="15"/>
      <c r="P6" s="15"/>
      <c r="Q6" s="15"/>
      <c r="R6" s="15"/>
      <c r="S6" s="15"/>
      <c r="T6" s="15"/>
      <c r="U6" s="15"/>
      <c r="V6" s="15"/>
      <c r="W6" s="15"/>
      <c r="X6" s="15"/>
    </row>
    <row r="7" spans="1:24" ht="16.05" customHeight="1" x14ac:dyDescent="0.3">
      <c r="A7" s="16" t="s">
        <v>19</v>
      </c>
      <c r="B7" s="16"/>
      <c r="C7" s="16"/>
      <c r="D7" s="16"/>
      <c r="E7" s="16"/>
      <c r="F7" s="16"/>
      <c r="G7" s="16"/>
      <c r="H7" s="16"/>
      <c r="I7" s="16"/>
      <c r="J7" s="16"/>
      <c r="K7" s="16"/>
      <c r="L7" s="16"/>
      <c r="M7" s="16"/>
      <c r="N7" s="16"/>
      <c r="O7" s="16"/>
      <c r="P7" s="16"/>
      <c r="Q7" s="16"/>
      <c r="R7" s="16"/>
      <c r="S7" s="16"/>
      <c r="T7" s="16"/>
      <c r="U7" s="16"/>
      <c r="V7" s="16"/>
      <c r="W7" s="16"/>
      <c r="X7" s="16"/>
    </row>
    <row r="8" spans="1:24" ht="16.05" customHeight="1" x14ac:dyDescent="0.3">
      <c r="A8" s="2" t="s">
        <v>20</v>
      </c>
      <c r="B8" s="2"/>
      <c r="C8" s="3" t="s">
        <v>21</v>
      </c>
      <c r="D8" s="3" t="str">
        <f>IF(ISBLANK(B8),C8,B8&amp;" - "&amp;C8)</f>
        <v>Sales</v>
      </c>
      <c r="E8" s="3" t="s">
        <v>22</v>
      </c>
      <c r="F8" s="3" t="s">
        <v>23</v>
      </c>
      <c r="G8" s="3" t="s">
        <v>24</v>
      </c>
      <c r="H8" s="3" t="s">
        <v>24</v>
      </c>
      <c r="I8" s="3" t="s">
        <v>25</v>
      </c>
      <c r="J8" s="3" t="s">
        <v>26</v>
      </c>
      <c r="K8" s="3" t="s">
        <v>27</v>
      </c>
      <c r="L8" s="3" t="s">
        <v>28</v>
      </c>
      <c r="M8" s="3" t="s">
        <v>29</v>
      </c>
      <c r="N8" s="3" t="s">
        <v>30</v>
      </c>
      <c r="O8" s="3" t="s">
        <v>21</v>
      </c>
      <c r="P8" s="3" t="str">
        <f>O8</f>
        <v>Sales</v>
      </c>
      <c r="Q8" s="3" t="str">
        <f t="shared" ref="Q8:T8" si="0">P8</f>
        <v>Sales</v>
      </c>
      <c r="R8" s="3" t="str">
        <f t="shared" si="0"/>
        <v>Sales</v>
      </c>
      <c r="S8" s="3" t="str">
        <f t="shared" si="0"/>
        <v>Sales</v>
      </c>
      <c r="T8" s="3" t="str">
        <f t="shared" si="0"/>
        <v>Sales</v>
      </c>
      <c r="U8" s="4" t="s">
        <v>31</v>
      </c>
      <c r="V8" s="3" t="s">
        <v>32</v>
      </c>
      <c r="W8" s="3"/>
      <c r="X8" s="3" t="str">
        <f>D8</f>
        <v>Sales</v>
      </c>
    </row>
    <row r="9" spans="1:24" ht="16.05" customHeight="1" x14ac:dyDescent="0.3">
      <c r="A9" s="2" t="s">
        <v>33</v>
      </c>
      <c r="B9" s="2"/>
      <c r="C9" s="3" t="s">
        <v>34</v>
      </c>
      <c r="D9" s="3" t="str">
        <f t="shared" ref="D9:D72" si="1">IF(ISBLANK(B9),C9,B9&amp;" - "&amp;C9)</f>
        <v>Interest Income</v>
      </c>
      <c r="E9" s="3" t="s">
        <v>22</v>
      </c>
      <c r="F9" s="3" t="s">
        <v>23</v>
      </c>
      <c r="G9" s="3" t="s">
        <v>24</v>
      </c>
      <c r="H9" s="3" t="s">
        <v>24</v>
      </c>
      <c r="I9" s="3" t="s">
        <v>25</v>
      </c>
      <c r="J9" s="3" t="s">
        <v>26</v>
      </c>
      <c r="K9" s="3" t="s">
        <v>27</v>
      </c>
      <c r="L9" s="3" t="s">
        <v>28</v>
      </c>
      <c r="M9" s="3" t="s">
        <v>29</v>
      </c>
      <c r="N9" s="3" t="s">
        <v>30</v>
      </c>
      <c r="O9" s="3" t="s">
        <v>34</v>
      </c>
      <c r="P9" s="3" t="str">
        <f t="shared" ref="P9:P13" si="2">O9</f>
        <v>Interest Income</v>
      </c>
      <c r="Q9" s="3" t="str">
        <f t="shared" ref="Q9:T9" si="3">P9</f>
        <v>Interest Income</v>
      </c>
      <c r="R9" s="3" t="str">
        <f t="shared" si="3"/>
        <v>Interest Income</v>
      </c>
      <c r="S9" s="3" t="str">
        <f t="shared" si="3"/>
        <v>Interest Income</v>
      </c>
      <c r="T9" s="3" t="str">
        <f t="shared" si="3"/>
        <v>Interest Income</v>
      </c>
      <c r="U9" s="4" t="s">
        <v>35</v>
      </c>
      <c r="V9" s="3" t="s">
        <v>32</v>
      </c>
      <c r="W9" s="3"/>
      <c r="X9" s="3" t="str">
        <f t="shared" ref="X9:X72" si="4">D9</f>
        <v>Interest Income</v>
      </c>
    </row>
    <row r="10" spans="1:24" ht="16.05" customHeight="1" x14ac:dyDescent="0.3">
      <c r="A10" s="2" t="s">
        <v>36</v>
      </c>
      <c r="B10" s="2"/>
      <c r="C10" s="3" t="s">
        <v>37</v>
      </c>
      <c r="D10" s="3" t="str">
        <f t="shared" si="1"/>
        <v>Discounts/Refunds Given</v>
      </c>
      <c r="E10" s="3" t="s">
        <v>22</v>
      </c>
      <c r="F10" s="3" t="s">
        <v>23</v>
      </c>
      <c r="G10" s="3" t="s">
        <v>24</v>
      </c>
      <c r="H10" s="3" t="s">
        <v>24</v>
      </c>
      <c r="I10" s="3" t="s">
        <v>25</v>
      </c>
      <c r="J10" s="3" t="s">
        <v>26</v>
      </c>
      <c r="K10" s="3" t="s">
        <v>27</v>
      </c>
      <c r="L10" s="3" t="s">
        <v>28</v>
      </c>
      <c r="M10" s="3" t="s">
        <v>29</v>
      </c>
      <c r="N10" s="3" t="s">
        <v>30</v>
      </c>
      <c r="O10" s="3" t="s">
        <v>37</v>
      </c>
      <c r="P10" s="3" t="str">
        <f t="shared" si="2"/>
        <v>Discounts/Refunds Given</v>
      </c>
      <c r="Q10" s="3" t="str">
        <f t="shared" ref="Q10:T10" si="5">P10</f>
        <v>Discounts/Refunds Given</v>
      </c>
      <c r="R10" s="3" t="str">
        <f t="shared" si="5"/>
        <v>Discounts/Refunds Given</v>
      </c>
      <c r="S10" s="3" t="str">
        <f t="shared" si="5"/>
        <v>Discounts/Refunds Given</v>
      </c>
      <c r="T10" s="3" t="str">
        <f t="shared" si="5"/>
        <v>Discounts/Refunds Given</v>
      </c>
      <c r="U10" s="4" t="s">
        <v>38</v>
      </c>
      <c r="V10" s="3" t="s">
        <v>32</v>
      </c>
      <c r="W10" s="3"/>
      <c r="X10" s="3" t="str">
        <f t="shared" si="4"/>
        <v>Discounts/Refunds Given</v>
      </c>
    </row>
    <row r="11" spans="1:24" ht="16.05" customHeight="1" x14ac:dyDescent="0.3">
      <c r="A11" s="2" t="s">
        <v>39</v>
      </c>
      <c r="B11" s="2"/>
      <c r="C11" s="3" t="s">
        <v>40</v>
      </c>
      <c r="D11" s="3" t="str">
        <f t="shared" si="1"/>
        <v>Refunds to Customers</v>
      </c>
      <c r="E11" s="3" t="s">
        <v>22</v>
      </c>
      <c r="F11" s="3" t="s">
        <v>23</v>
      </c>
      <c r="G11" s="3" t="s">
        <v>24</v>
      </c>
      <c r="H11" s="3" t="s">
        <v>24</v>
      </c>
      <c r="I11" s="3" t="s">
        <v>25</v>
      </c>
      <c r="J11" s="3" t="s">
        <v>26</v>
      </c>
      <c r="K11" s="3" t="s">
        <v>27</v>
      </c>
      <c r="L11" s="3" t="s">
        <v>28</v>
      </c>
      <c r="M11" s="3" t="s">
        <v>29</v>
      </c>
      <c r="N11" s="3" t="s">
        <v>30</v>
      </c>
      <c r="O11" s="3" t="s">
        <v>40</v>
      </c>
      <c r="P11" s="3" t="str">
        <f t="shared" si="2"/>
        <v>Refunds to Customers</v>
      </c>
      <c r="Q11" s="3" t="str">
        <f t="shared" ref="Q11:T11" si="6">P11</f>
        <v>Refunds to Customers</v>
      </c>
      <c r="R11" s="3" t="str">
        <f t="shared" si="6"/>
        <v>Refunds to Customers</v>
      </c>
      <c r="S11" s="3" t="str">
        <f t="shared" si="6"/>
        <v>Refunds to Customers</v>
      </c>
      <c r="T11" s="3" t="str">
        <f t="shared" si="6"/>
        <v>Refunds to Customers</v>
      </c>
      <c r="U11" s="4" t="s">
        <v>41</v>
      </c>
      <c r="V11" s="3" t="s">
        <v>32</v>
      </c>
      <c r="W11" s="3"/>
      <c r="X11" s="3" t="str">
        <f t="shared" si="4"/>
        <v>Refunds to Customers</v>
      </c>
    </row>
    <row r="12" spans="1:24" ht="16.05" customHeight="1" x14ac:dyDescent="0.3">
      <c r="A12" s="2" t="s">
        <v>42</v>
      </c>
      <c r="B12" s="2"/>
      <c r="C12" s="3" t="s">
        <v>43</v>
      </c>
      <c r="D12" s="3" t="str">
        <f t="shared" si="1"/>
        <v>Gain on Sale of Assets</v>
      </c>
      <c r="E12" s="3" t="s">
        <v>22</v>
      </c>
      <c r="F12" s="3" t="s">
        <v>23</v>
      </c>
      <c r="G12" s="3" t="s">
        <v>24</v>
      </c>
      <c r="H12" s="3" t="s">
        <v>24</v>
      </c>
      <c r="I12" s="3" t="s">
        <v>25</v>
      </c>
      <c r="J12" s="3" t="s">
        <v>26</v>
      </c>
      <c r="K12" s="3" t="s">
        <v>27</v>
      </c>
      <c r="L12" s="3" t="s">
        <v>28</v>
      </c>
      <c r="M12" s="3" t="s">
        <v>29</v>
      </c>
      <c r="N12" s="3" t="s">
        <v>30</v>
      </c>
      <c r="O12" s="3" t="s">
        <v>43</v>
      </c>
      <c r="P12" s="3" t="str">
        <f t="shared" si="2"/>
        <v>Gain on Sale of Assets</v>
      </c>
      <c r="Q12" s="3" t="str">
        <f t="shared" ref="Q12:T12" si="7">P12</f>
        <v>Gain on Sale of Assets</v>
      </c>
      <c r="R12" s="3" t="str">
        <f t="shared" si="7"/>
        <v>Gain on Sale of Assets</v>
      </c>
      <c r="S12" s="3" t="str">
        <f t="shared" si="7"/>
        <v>Gain on Sale of Assets</v>
      </c>
      <c r="T12" s="3" t="str">
        <f t="shared" si="7"/>
        <v>Gain on Sale of Assets</v>
      </c>
      <c r="U12" s="4" t="s">
        <v>44</v>
      </c>
      <c r="V12" s="3" t="s">
        <v>32</v>
      </c>
      <c r="W12" s="3"/>
      <c r="X12" s="3" t="str">
        <f t="shared" si="4"/>
        <v>Gain on Sale of Assets</v>
      </c>
    </row>
    <row r="13" spans="1:24" ht="16.05" customHeight="1"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ht="16.05" customHeight="1" x14ac:dyDescent="0.3">
      <c r="A14" s="5" t="s">
        <v>45</v>
      </c>
      <c r="B14" s="5"/>
      <c r="C14" s="6" t="s">
        <v>46</v>
      </c>
      <c r="D14" s="6" t="str">
        <f t="shared" si="1"/>
        <v>Payroll Expenses</v>
      </c>
      <c r="E14" s="6" t="s">
        <v>22</v>
      </c>
      <c r="F14" s="6" t="s">
        <v>23</v>
      </c>
      <c r="G14" s="6" t="s">
        <v>24</v>
      </c>
      <c r="H14" s="6" t="s">
        <v>24</v>
      </c>
      <c r="I14" s="6" t="s">
        <v>25</v>
      </c>
      <c r="J14" s="6" t="s">
        <v>26</v>
      </c>
      <c r="K14" s="6" t="s">
        <v>27</v>
      </c>
      <c r="L14" s="6" t="s">
        <v>28</v>
      </c>
      <c r="M14" s="6" t="s">
        <v>47</v>
      </c>
      <c r="N14" s="6" t="s">
        <v>48</v>
      </c>
      <c r="O14" s="6" t="s">
        <v>49</v>
      </c>
      <c r="P14" s="6" t="s">
        <v>46</v>
      </c>
      <c r="Q14" s="6" t="str">
        <f t="shared" ref="Q14:T14" si="8">P14</f>
        <v>Payroll Expenses</v>
      </c>
      <c r="R14" s="6" t="str">
        <f t="shared" si="8"/>
        <v>Payroll Expenses</v>
      </c>
      <c r="S14" s="6" t="str">
        <f t="shared" si="8"/>
        <v>Payroll Expenses</v>
      </c>
      <c r="T14" s="6" t="str">
        <f t="shared" si="8"/>
        <v>Payroll Expenses</v>
      </c>
      <c r="U14" s="7" t="s">
        <v>50</v>
      </c>
      <c r="V14" s="6" t="s">
        <v>32</v>
      </c>
      <c r="W14" s="6"/>
      <c r="X14" s="6" t="str">
        <f t="shared" si="4"/>
        <v>Payroll Expenses</v>
      </c>
    </row>
    <row r="15" spans="1:24" ht="16.05" customHeight="1" x14ac:dyDescent="0.3">
      <c r="A15" s="5" t="s">
        <v>51</v>
      </c>
      <c r="B15" s="5"/>
      <c r="C15" s="6" t="s">
        <v>52</v>
      </c>
      <c r="D15" s="6" t="str">
        <f t="shared" si="1"/>
        <v>Payroll Processing Fees</v>
      </c>
      <c r="E15" s="6" t="s">
        <v>22</v>
      </c>
      <c r="F15" s="6" t="s">
        <v>23</v>
      </c>
      <c r="G15" s="6" t="s">
        <v>24</v>
      </c>
      <c r="H15" s="6" t="s">
        <v>24</v>
      </c>
      <c r="I15" s="6" t="s">
        <v>25</v>
      </c>
      <c r="J15" s="6" t="s">
        <v>26</v>
      </c>
      <c r="K15" s="6" t="s">
        <v>27</v>
      </c>
      <c r="L15" s="6" t="s">
        <v>28</v>
      </c>
      <c r="M15" s="6" t="s">
        <v>47</v>
      </c>
      <c r="N15" s="6" t="s">
        <v>48</v>
      </c>
      <c r="O15" s="6" t="s">
        <v>49</v>
      </c>
      <c r="P15" s="6" t="s">
        <v>52</v>
      </c>
      <c r="Q15" s="6" t="str">
        <f t="shared" ref="Q15:T15" si="9">P15</f>
        <v>Payroll Processing Fees</v>
      </c>
      <c r="R15" s="6" t="str">
        <f t="shared" si="9"/>
        <v>Payroll Processing Fees</v>
      </c>
      <c r="S15" s="6" t="str">
        <f t="shared" si="9"/>
        <v>Payroll Processing Fees</v>
      </c>
      <c r="T15" s="6" t="str">
        <f t="shared" si="9"/>
        <v>Payroll Processing Fees</v>
      </c>
      <c r="U15" s="7" t="s">
        <v>53</v>
      </c>
      <c r="V15" s="6" t="s">
        <v>32</v>
      </c>
      <c r="W15" s="6"/>
      <c r="X15" s="6" t="str">
        <f t="shared" si="4"/>
        <v>Payroll Processing Fees</v>
      </c>
    </row>
    <row r="16" spans="1:24" ht="16.05" customHeight="1" x14ac:dyDescent="0.3">
      <c r="A16" s="5" t="s">
        <v>54</v>
      </c>
      <c r="B16" s="5"/>
      <c r="C16" s="6" t="s">
        <v>55</v>
      </c>
      <c r="D16" s="6" t="str">
        <f t="shared" si="1"/>
        <v>Payroll Taxes</v>
      </c>
      <c r="E16" s="6" t="s">
        <v>22</v>
      </c>
      <c r="F16" s="6" t="s">
        <v>23</v>
      </c>
      <c r="G16" s="6" t="s">
        <v>24</v>
      </c>
      <c r="H16" s="6" t="s">
        <v>24</v>
      </c>
      <c r="I16" s="6" t="s">
        <v>25</v>
      </c>
      <c r="J16" s="6" t="s">
        <v>26</v>
      </c>
      <c r="K16" s="6" t="s">
        <v>27</v>
      </c>
      <c r="L16" s="6" t="s">
        <v>28</v>
      </c>
      <c r="M16" s="6" t="s">
        <v>47</v>
      </c>
      <c r="N16" s="6" t="s">
        <v>48</v>
      </c>
      <c r="O16" s="6" t="s">
        <v>49</v>
      </c>
      <c r="P16" s="6" t="s">
        <v>55</v>
      </c>
      <c r="Q16" s="6" t="str">
        <f t="shared" ref="Q16:T16" si="10">P16</f>
        <v>Payroll Taxes</v>
      </c>
      <c r="R16" s="6" t="str">
        <f t="shared" si="10"/>
        <v>Payroll Taxes</v>
      </c>
      <c r="S16" s="6" t="str">
        <f t="shared" si="10"/>
        <v>Payroll Taxes</v>
      </c>
      <c r="T16" s="6" t="str">
        <f t="shared" si="10"/>
        <v>Payroll Taxes</v>
      </c>
      <c r="U16" s="7" t="s">
        <v>56</v>
      </c>
      <c r="V16" s="6" t="s">
        <v>32</v>
      </c>
      <c r="W16" s="6"/>
      <c r="X16" s="6" t="str">
        <f t="shared" si="4"/>
        <v>Payroll Taxes</v>
      </c>
    </row>
    <row r="17" spans="1:24" ht="16.05" customHeight="1" x14ac:dyDescent="0.3">
      <c r="A17" s="5" t="s">
        <v>57</v>
      </c>
      <c r="B17" s="5"/>
      <c r="C17" s="6" t="s">
        <v>58</v>
      </c>
      <c r="D17" s="6" t="str">
        <f t="shared" si="1"/>
        <v>401K Expense</v>
      </c>
      <c r="E17" s="6" t="s">
        <v>22</v>
      </c>
      <c r="F17" s="6" t="s">
        <v>23</v>
      </c>
      <c r="G17" s="6" t="s">
        <v>24</v>
      </c>
      <c r="H17" s="6" t="s">
        <v>24</v>
      </c>
      <c r="I17" s="6" t="s">
        <v>25</v>
      </c>
      <c r="J17" s="6" t="s">
        <v>26</v>
      </c>
      <c r="K17" s="6" t="s">
        <v>27</v>
      </c>
      <c r="L17" s="6" t="s">
        <v>28</v>
      </c>
      <c r="M17" s="6" t="s">
        <v>47</v>
      </c>
      <c r="N17" s="6" t="s">
        <v>48</v>
      </c>
      <c r="O17" s="6" t="s">
        <v>49</v>
      </c>
      <c r="P17" s="6" t="s">
        <v>58</v>
      </c>
      <c r="Q17" s="6" t="str">
        <f t="shared" ref="Q17:T17" si="11">P17</f>
        <v>401K Expense</v>
      </c>
      <c r="R17" s="6" t="str">
        <f t="shared" si="11"/>
        <v>401K Expense</v>
      </c>
      <c r="S17" s="6" t="str">
        <f t="shared" si="11"/>
        <v>401K Expense</v>
      </c>
      <c r="T17" s="6" t="str">
        <f t="shared" si="11"/>
        <v>401K Expense</v>
      </c>
      <c r="U17" s="7" t="s">
        <v>59</v>
      </c>
      <c r="V17" s="6" t="s">
        <v>32</v>
      </c>
      <c r="W17" s="6"/>
      <c r="X17" s="6" t="str">
        <f t="shared" si="4"/>
        <v>401K Expense</v>
      </c>
    </row>
    <row r="18" spans="1:24" ht="16.05" customHeight="1" x14ac:dyDescent="0.3">
      <c r="A18" s="5" t="s">
        <v>60</v>
      </c>
      <c r="B18" s="5"/>
      <c r="C18" s="6" t="s">
        <v>61</v>
      </c>
      <c r="D18" s="6" t="str">
        <f t="shared" si="1"/>
        <v>Employee Benefits</v>
      </c>
      <c r="E18" s="6" t="s">
        <v>22</v>
      </c>
      <c r="F18" s="6" t="s">
        <v>23</v>
      </c>
      <c r="G18" s="6" t="s">
        <v>24</v>
      </c>
      <c r="H18" s="6" t="s">
        <v>24</v>
      </c>
      <c r="I18" s="6" t="s">
        <v>25</v>
      </c>
      <c r="J18" s="6" t="s">
        <v>26</v>
      </c>
      <c r="K18" s="6" t="s">
        <v>27</v>
      </c>
      <c r="L18" s="6" t="s">
        <v>28</v>
      </c>
      <c r="M18" s="6" t="s">
        <v>47</v>
      </c>
      <c r="N18" s="6" t="s">
        <v>48</v>
      </c>
      <c r="O18" s="6" t="s">
        <v>49</v>
      </c>
      <c r="P18" s="6" t="s">
        <v>61</v>
      </c>
      <c r="Q18" s="6" t="str">
        <f t="shared" ref="Q18:T18" si="12">P18</f>
        <v>Employee Benefits</v>
      </c>
      <c r="R18" s="6" t="str">
        <f t="shared" si="12"/>
        <v>Employee Benefits</v>
      </c>
      <c r="S18" s="6" t="str">
        <f t="shared" si="12"/>
        <v>Employee Benefits</v>
      </c>
      <c r="T18" s="6" t="str">
        <f t="shared" si="12"/>
        <v>Employee Benefits</v>
      </c>
      <c r="U18" s="7" t="s">
        <v>62</v>
      </c>
      <c r="V18" s="6" t="s">
        <v>32</v>
      </c>
      <c r="W18" s="6"/>
      <c r="X18" s="6" t="str">
        <f t="shared" si="4"/>
        <v>Employee Benefits</v>
      </c>
    </row>
    <row r="19" spans="1:24" ht="16.05" customHeight="1" x14ac:dyDescent="0.3">
      <c r="A19" s="5" t="s">
        <v>63</v>
      </c>
      <c r="B19" s="5"/>
      <c r="C19" s="6" t="s">
        <v>64</v>
      </c>
      <c r="D19" s="6" t="str">
        <f t="shared" si="1"/>
        <v>Worker's Compensation</v>
      </c>
      <c r="E19" s="6" t="s">
        <v>22</v>
      </c>
      <c r="F19" s="6" t="s">
        <v>23</v>
      </c>
      <c r="G19" s="6" t="s">
        <v>24</v>
      </c>
      <c r="H19" s="6" t="s">
        <v>24</v>
      </c>
      <c r="I19" s="6" t="s">
        <v>25</v>
      </c>
      <c r="J19" s="6" t="s">
        <v>26</v>
      </c>
      <c r="K19" s="6" t="s">
        <v>27</v>
      </c>
      <c r="L19" s="6" t="s">
        <v>28</v>
      </c>
      <c r="M19" s="6" t="s">
        <v>47</v>
      </c>
      <c r="N19" s="6" t="s">
        <v>48</v>
      </c>
      <c r="O19" s="6" t="s">
        <v>49</v>
      </c>
      <c r="P19" s="6" t="s">
        <v>64</v>
      </c>
      <c r="Q19" s="6" t="str">
        <f t="shared" ref="Q19:T19" si="13">P19</f>
        <v>Worker's Compensation</v>
      </c>
      <c r="R19" s="6" t="str">
        <f t="shared" si="13"/>
        <v>Worker's Compensation</v>
      </c>
      <c r="S19" s="6" t="str">
        <f t="shared" si="13"/>
        <v>Worker's Compensation</v>
      </c>
      <c r="T19" s="6" t="str">
        <f t="shared" si="13"/>
        <v>Worker's Compensation</v>
      </c>
      <c r="U19" s="7" t="s">
        <v>65</v>
      </c>
      <c r="V19" s="6" t="s">
        <v>32</v>
      </c>
      <c r="W19" s="6"/>
      <c r="X19" s="6" t="str">
        <f t="shared" si="4"/>
        <v>Worker's Compensation</v>
      </c>
    </row>
    <row r="20" spans="1:24" ht="16.05" customHeight="1" x14ac:dyDescent="0.3">
      <c r="A20" s="5" t="s">
        <v>66</v>
      </c>
      <c r="B20" s="5"/>
      <c r="C20" s="6" t="s">
        <v>67</v>
      </c>
      <c r="D20" s="6" t="str">
        <f t="shared" si="1"/>
        <v>Food and Beverage Expenses</v>
      </c>
      <c r="E20" s="6" t="s">
        <v>22</v>
      </c>
      <c r="F20" s="6" t="s">
        <v>23</v>
      </c>
      <c r="G20" s="6" t="s">
        <v>24</v>
      </c>
      <c r="H20" s="6" t="s">
        <v>24</v>
      </c>
      <c r="I20" s="6" t="s">
        <v>25</v>
      </c>
      <c r="J20" s="6" t="s">
        <v>26</v>
      </c>
      <c r="K20" s="6" t="s">
        <v>27</v>
      </c>
      <c r="L20" s="6" t="s">
        <v>28</v>
      </c>
      <c r="M20" s="6" t="s">
        <v>47</v>
      </c>
      <c r="N20" s="6" t="s">
        <v>48</v>
      </c>
      <c r="O20" s="6" t="s">
        <v>68</v>
      </c>
      <c r="P20" s="6" t="s">
        <v>67</v>
      </c>
      <c r="Q20" s="6" t="str">
        <f t="shared" ref="Q20:T20" si="14">P20</f>
        <v>Food and Beverage Expenses</v>
      </c>
      <c r="R20" s="6" t="str">
        <f t="shared" si="14"/>
        <v>Food and Beverage Expenses</v>
      </c>
      <c r="S20" s="6" t="str">
        <f t="shared" si="14"/>
        <v>Food and Beverage Expenses</v>
      </c>
      <c r="T20" s="6" t="str">
        <f t="shared" si="14"/>
        <v>Food and Beverage Expenses</v>
      </c>
      <c r="U20" s="7" t="s">
        <v>69</v>
      </c>
      <c r="V20" s="6" t="s">
        <v>32</v>
      </c>
      <c r="W20" s="6"/>
      <c r="X20" s="6" t="str">
        <f t="shared" si="4"/>
        <v>Food and Beverage Expenses</v>
      </c>
    </row>
    <row r="21" spans="1:24" ht="16.05" customHeight="1" x14ac:dyDescent="0.3">
      <c r="A21" s="5" t="s">
        <v>70</v>
      </c>
      <c r="B21" s="5"/>
      <c r="C21" s="6" t="s">
        <v>71</v>
      </c>
      <c r="D21" s="6" t="str">
        <f t="shared" si="1"/>
        <v>Job Supplies</v>
      </c>
      <c r="E21" s="6" t="s">
        <v>22</v>
      </c>
      <c r="F21" s="6" t="s">
        <v>23</v>
      </c>
      <c r="G21" s="6" t="s">
        <v>24</v>
      </c>
      <c r="H21" s="6" t="s">
        <v>24</v>
      </c>
      <c r="I21" s="6" t="s">
        <v>25</v>
      </c>
      <c r="J21" s="6" t="s">
        <v>26</v>
      </c>
      <c r="K21" s="6" t="s">
        <v>27</v>
      </c>
      <c r="L21" s="6" t="s">
        <v>28</v>
      </c>
      <c r="M21" s="6" t="s">
        <v>47</v>
      </c>
      <c r="N21" s="6" t="s">
        <v>48</v>
      </c>
      <c r="O21" s="6" t="s">
        <v>68</v>
      </c>
      <c r="P21" s="6" t="s">
        <v>71</v>
      </c>
      <c r="Q21" s="6" t="str">
        <f t="shared" ref="Q21:T21" si="15">P21</f>
        <v>Job Supplies</v>
      </c>
      <c r="R21" s="6" t="str">
        <f t="shared" si="15"/>
        <v>Job Supplies</v>
      </c>
      <c r="S21" s="6" t="str">
        <f t="shared" si="15"/>
        <v>Job Supplies</v>
      </c>
      <c r="T21" s="6" t="str">
        <f t="shared" si="15"/>
        <v>Job Supplies</v>
      </c>
      <c r="U21" s="7" t="s">
        <v>72</v>
      </c>
      <c r="V21" s="6" t="s">
        <v>32</v>
      </c>
      <c r="W21" s="6"/>
      <c r="X21" s="6" t="str">
        <f t="shared" si="4"/>
        <v>Job Supplies</v>
      </c>
    </row>
    <row r="22" spans="1:24" ht="16.05" customHeight="1" x14ac:dyDescent="0.3">
      <c r="A22" s="5" t="s">
        <v>73</v>
      </c>
      <c r="B22" s="5"/>
      <c r="C22" s="6" t="s">
        <v>74</v>
      </c>
      <c r="D22" s="6" t="str">
        <f t="shared" si="1"/>
        <v>Meals Tax</v>
      </c>
      <c r="E22" s="6" t="s">
        <v>22</v>
      </c>
      <c r="F22" s="6" t="s">
        <v>23</v>
      </c>
      <c r="G22" s="6" t="s">
        <v>24</v>
      </c>
      <c r="H22" s="6" t="s">
        <v>24</v>
      </c>
      <c r="I22" s="6" t="s">
        <v>25</v>
      </c>
      <c r="J22" s="6" t="s">
        <v>26</v>
      </c>
      <c r="K22" s="6" t="s">
        <v>27</v>
      </c>
      <c r="L22" s="6" t="s">
        <v>28</v>
      </c>
      <c r="M22" s="6" t="s">
        <v>47</v>
      </c>
      <c r="N22" s="6" t="s">
        <v>48</v>
      </c>
      <c r="O22" s="6" t="s">
        <v>68</v>
      </c>
      <c r="P22" s="6" t="s">
        <v>74</v>
      </c>
      <c r="Q22" s="6" t="str">
        <f t="shared" ref="Q22:T22" si="16">P22</f>
        <v>Meals Tax</v>
      </c>
      <c r="R22" s="6" t="str">
        <f t="shared" si="16"/>
        <v>Meals Tax</v>
      </c>
      <c r="S22" s="6" t="str">
        <f t="shared" si="16"/>
        <v>Meals Tax</v>
      </c>
      <c r="T22" s="6" t="str">
        <f t="shared" si="16"/>
        <v>Meals Tax</v>
      </c>
      <c r="U22" s="7" t="s">
        <v>75</v>
      </c>
      <c r="V22" s="6" t="s">
        <v>32</v>
      </c>
      <c r="W22" s="6"/>
      <c r="X22" s="6" t="str">
        <f t="shared" si="4"/>
        <v>Meals Tax</v>
      </c>
    </row>
    <row r="23" spans="1:24" ht="16.05" customHeight="1" x14ac:dyDescent="0.3">
      <c r="A23" s="5" t="s">
        <v>76</v>
      </c>
      <c r="B23" s="5"/>
      <c r="C23" s="6" t="s">
        <v>77</v>
      </c>
      <c r="D23" s="6" t="str">
        <f t="shared" si="1"/>
        <v>Rent &amp; Lease</v>
      </c>
      <c r="E23" s="6" t="s">
        <v>22</v>
      </c>
      <c r="F23" s="6" t="s">
        <v>23</v>
      </c>
      <c r="G23" s="6" t="s">
        <v>24</v>
      </c>
      <c r="H23" s="6" t="s">
        <v>24</v>
      </c>
      <c r="I23" s="6" t="s">
        <v>25</v>
      </c>
      <c r="J23" s="6" t="s">
        <v>26</v>
      </c>
      <c r="K23" s="6" t="s">
        <v>27</v>
      </c>
      <c r="L23" s="6" t="s">
        <v>28</v>
      </c>
      <c r="M23" s="6" t="s">
        <v>47</v>
      </c>
      <c r="N23" s="6" t="s">
        <v>48</v>
      </c>
      <c r="O23" s="6" t="s">
        <v>78</v>
      </c>
      <c r="P23" s="6" t="s">
        <v>79</v>
      </c>
      <c r="Q23" s="6" t="str">
        <f t="shared" ref="Q23:T23" si="17">P23</f>
        <v>Rent and Lease</v>
      </c>
      <c r="R23" s="6" t="str">
        <f t="shared" si="17"/>
        <v>Rent and Lease</v>
      </c>
      <c r="S23" s="6" t="str">
        <f t="shared" si="17"/>
        <v>Rent and Lease</v>
      </c>
      <c r="T23" s="6" t="str">
        <f t="shared" si="17"/>
        <v>Rent and Lease</v>
      </c>
      <c r="U23" s="7" t="s">
        <v>80</v>
      </c>
      <c r="V23" s="6" t="s">
        <v>32</v>
      </c>
      <c r="W23" s="6"/>
      <c r="X23" s="6" t="str">
        <f t="shared" si="4"/>
        <v>Rent &amp; Lease</v>
      </c>
    </row>
    <row r="24" spans="1:24" ht="16.05" customHeight="1" x14ac:dyDescent="0.3">
      <c r="A24" s="5" t="s">
        <v>81</v>
      </c>
      <c r="B24" s="5"/>
      <c r="C24" s="6" t="s">
        <v>82</v>
      </c>
      <c r="D24" s="6" t="str">
        <f t="shared" si="1"/>
        <v>Real Estate Taxes</v>
      </c>
      <c r="E24" s="6" t="s">
        <v>22</v>
      </c>
      <c r="F24" s="6" t="s">
        <v>23</v>
      </c>
      <c r="G24" s="6" t="s">
        <v>24</v>
      </c>
      <c r="H24" s="6" t="s">
        <v>24</v>
      </c>
      <c r="I24" s="6" t="s">
        <v>25</v>
      </c>
      <c r="J24" s="6" t="s">
        <v>26</v>
      </c>
      <c r="K24" s="6" t="s">
        <v>27</v>
      </c>
      <c r="L24" s="6" t="s">
        <v>28</v>
      </c>
      <c r="M24" s="6" t="s">
        <v>47</v>
      </c>
      <c r="N24" s="6" t="s">
        <v>48</v>
      </c>
      <c r="O24" s="6" t="s">
        <v>78</v>
      </c>
      <c r="P24" s="6" t="s">
        <v>82</v>
      </c>
      <c r="Q24" s="6" t="str">
        <f t="shared" ref="Q24:T24" si="18">P24</f>
        <v>Real Estate Taxes</v>
      </c>
      <c r="R24" s="6" t="str">
        <f t="shared" si="18"/>
        <v>Real Estate Taxes</v>
      </c>
      <c r="S24" s="6" t="str">
        <f t="shared" si="18"/>
        <v>Real Estate Taxes</v>
      </c>
      <c r="T24" s="6" t="str">
        <f t="shared" si="18"/>
        <v>Real Estate Taxes</v>
      </c>
      <c r="U24" s="7" t="s">
        <v>83</v>
      </c>
      <c r="V24" s="6" t="s">
        <v>32</v>
      </c>
      <c r="W24" s="6"/>
      <c r="X24" s="6" t="str">
        <f t="shared" si="4"/>
        <v>Real Estate Taxes</v>
      </c>
    </row>
    <row r="25" spans="1:24" ht="16.05" customHeight="1" x14ac:dyDescent="0.3">
      <c r="A25" s="5" t="s">
        <v>84</v>
      </c>
      <c r="B25" s="5"/>
      <c r="C25" s="6" t="s">
        <v>85</v>
      </c>
      <c r="D25" s="6" t="str">
        <f t="shared" si="1"/>
        <v>Utilities</v>
      </c>
      <c r="E25" s="6" t="s">
        <v>22</v>
      </c>
      <c r="F25" s="6" t="s">
        <v>23</v>
      </c>
      <c r="G25" s="6" t="s">
        <v>24</v>
      </c>
      <c r="H25" s="6" t="s">
        <v>24</v>
      </c>
      <c r="I25" s="6" t="s">
        <v>25</v>
      </c>
      <c r="J25" s="6" t="s">
        <v>26</v>
      </c>
      <c r="K25" s="6" t="s">
        <v>27</v>
      </c>
      <c r="L25" s="6" t="s">
        <v>28</v>
      </c>
      <c r="M25" s="6" t="s">
        <v>47</v>
      </c>
      <c r="N25" s="6" t="s">
        <v>48</v>
      </c>
      <c r="O25" s="6" t="s">
        <v>78</v>
      </c>
      <c r="P25" s="6" t="s">
        <v>85</v>
      </c>
      <c r="Q25" s="6" t="str">
        <f t="shared" ref="Q25:T25" si="19">P25</f>
        <v>Utilities</v>
      </c>
      <c r="R25" s="6" t="str">
        <f t="shared" si="19"/>
        <v>Utilities</v>
      </c>
      <c r="S25" s="6" t="str">
        <f t="shared" si="19"/>
        <v>Utilities</v>
      </c>
      <c r="T25" s="6" t="str">
        <f t="shared" si="19"/>
        <v>Utilities</v>
      </c>
      <c r="U25" s="7" t="s">
        <v>86</v>
      </c>
      <c r="V25" s="6" t="s">
        <v>32</v>
      </c>
      <c r="W25" s="6"/>
      <c r="X25" s="6" t="str">
        <f t="shared" si="4"/>
        <v>Utilities</v>
      </c>
    </row>
    <row r="26" spans="1:24" ht="16.05" customHeight="1" x14ac:dyDescent="0.3">
      <c r="A26" s="5" t="s">
        <v>87</v>
      </c>
      <c r="B26" s="5"/>
      <c r="C26" s="6" t="s">
        <v>88</v>
      </c>
      <c r="D26" s="6" t="str">
        <f t="shared" si="1"/>
        <v>Water &amp; Sewer</v>
      </c>
      <c r="E26" s="6" t="s">
        <v>22</v>
      </c>
      <c r="F26" s="6" t="s">
        <v>23</v>
      </c>
      <c r="G26" s="6" t="s">
        <v>24</v>
      </c>
      <c r="H26" s="6" t="s">
        <v>24</v>
      </c>
      <c r="I26" s="6" t="s">
        <v>25</v>
      </c>
      <c r="J26" s="6" t="s">
        <v>26</v>
      </c>
      <c r="K26" s="6" t="s">
        <v>27</v>
      </c>
      <c r="L26" s="6" t="s">
        <v>28</v>
      </c>
      <c r="M26" s="6" t="s">
        <v>47</v>
      </c>
      <c r="N26" s="6" t="s">
        <v>48</v>
      </c>
      <c r="O26" s="6" t="s">
        <v>78</v>
      </c>
      <c r="P26" s="6" t="s">
        <v>89</v>
      </c>
      <c r="Q26" s="6" t="str">
        <f t="shared" ref="Q26:T26" si="20">P26</f>
        <v>Water and Sewer</v>
      </c>
      <c r="R26" s="6" t="str">
        <f t="shared" si="20"/>
        <v>Water and Sewer</v>
      </c>
      <c r="S26" s="6" t="str">
        <f t="shared" si="20"/>
        <v>Water and Sewer</v>
      </c>
      <c r="T26" s="6" t="str">
        <f t="shared" si="20"/>
        <v>Water and Sewer</v>
      </c>
      <c r="U26" s="7" t="s">
        <v>90</v>
      </c>
      <c r="V26" s="6" t="s">
        <v>32</v>
      </c>
      <c r="W26" s="6"/>
      <c r="X26" s="6" t="str">
        <f t="shared" si="4"/>
        <v>Water &amp; Sewer</v>
      </c>
    </row>
    <row r="27" spans="1:24" ht="16.05" customHeight="1" x14ac:dyDescent="0.3">
      <c r="A27" s="5" t="s">
        <v>91</v>
      </c>
      <c r="B27" s="5"/>
      <c r="C27" s="6" t="s">
        <v>92</v>
      </c>
      <c r="D27" s="6" t="str">
        <f t="shared" si="1"/>
        <v>Alarm</v>
      </c>
      <c r="E27" s="6" t="s">
        <v>22</v>
      </c>
      <c r="F27" s="6" t="s">
        <v>23</v>
      </c>
      <c r="G27" s="6" t="s">
        <v>24</v>
      </c>
      <c r="H27" s="6" t="s">
        <v>24</v>
      </c>
      <c r="I27" s="6" t="s">
        <v>25</v>
      </c>
      <c r="J27" s="6" t="s">
        <v>26</v>
      </c>
      <c r="K27" s="6" t="s">
        <v>27</v>
      </c>
      <c r="L27" s="6" t="s">
        <v>28</v>
      </c>
      <c r="M27" s="6" t="s">
        <v>47</v>
      </c>
      <c r="N27" s="6" t="s">
        <v>48</v>
      </c>
      <c r="O27" s="6" t="s">
        <v>78</v>
      </c>
      <c r="P27" s="6" t="s">
        <v>92</v>
      </c>
      <c r="Q27" s="6" t="str">
        <f t="shared" ref="Q27:T27" si="21">P27</f>
        <v>Alarm</v>
      </c>
      <c r="R27" s="6" t="str">
        <f t="shared" si="21"/>
        <v>Alarm</v>
      </c>
      <c r="S27" s="6" t="str">
        <f t="shared" si="21"/>
        <v>Alarm</v>
      </c>
      <c r="T27" s="6" t="str">
        <f t="shared" si="21"/>
        <v>Alarm</v>
      </c>
      <c r="U27" s="7" t="s">
        <v>93</v>
      </c>
      <c r="V27" s="6" t="s">
        <v>32</v>
      </c>
      <c r="W27" s="6"/>
      <c r="X27" s="6" t="str">
        <f t="shared" si="4"/>
        <v>Alarm</v>
      </c>
    </row>
    <row r="28" spans="1:24" ht="16.05" customHeight="1" x14ac:dyDescent="0.3">
      <c r="A28" s="5" t="s">
        <v>94</v>
      </c>
      <c r="B28" s="5"/>
      <c r="C28" s="6" t="s">
        <v>95</v>
      </c>
      <c r="D28" s="6" t="str">
        <f t="shared" si="1"/>
        <v>Insurance</v>
      </c>
      <c r="E28" s="6" t="s">
        <v>22</v>
      </c>
      <c r="F28" s="6" t="s">
        <v>23</v>
      </c>
      <c r="G28" s="6" t="s">
        <v>24</v>
      </c>
      <c r="H28" s="6" t="s">
        <v>24</v>
      </c>
      <c r="I28" s="6" t="s">
        <v>25</v>
      </c>
      <c r="J28" s="6" t="s">
        <v>26</v>
      </c>
      <c r="K28" s="6" t="s">
        <v>27</v>
      </c>
      <c r="L28" s="6" t="s">
        <v>28</v>
      </c>
      <c r="M28" s="6" t="s">
        <v>47</v>
      </c>
      <c r="N28" s="6" t="s">
        <v>48</v>
      </c>
      <c r="O28" s="6" t="s">
        <v>95</v>
      </c>
      <c r="P28" s="6" t="s">
        <v>95</v>
      </c>
      <c r="Q28" s="6" t="str">
        <f t="shared" ref="Q28:T28" si="22">P28</f>
        <v>Insurance</v>
      </c>
      <c r="R28" s="6" t="str">
        <f t="shared" si="22"/>
        <v>Insurance</v>
      </c>
      <c r="S28" s="6" t="str">
        <f t="shared" si="22"/>
        <v>Insurance</v>
      </c>
      <c r="T28" s="6" t="str">
        <f t="shared" si="22"/>
        <v>Insurance</v>
      </c>
      <c r="U28" s="7" t="s">
        <v>96</v>
      </c>
      <c r="V28" s="6" t="s">
        <v>32</v>
      </c>
      <c r="W28" s="6"/>
      <c r="X28" s="6" t="str">
        <f t="shared" si="4"/>
        <v>Insurance</v>
      </c>
    </row>
    <row r="29" spans="1:24" ht="16.05" customHeight="1" x14ac:dyDescent="0.3">
      <c r="A29" s="5" t="s">
        <v>97</v>
      </c>
      <c r="B29" s="5"/>
      <c r="C29" s="6" t="s">
        <v>98</v>
      </c>
      <c r="D29" s="6" t="str">
        <f t="shared" si="1"/>
        <v>Advertising &amp; Marketing</v>
      </c>
      <c r="E29" s="6" t="s">
        <v>22</v>
      </c>
      <c r="F29" s="6" t="s">
        <v>23</v>
      </c>
      <c r="G29" s="6" t="s">
        <v>24</v>
      </c>
      <c r="H29" s="6" t="s">
        <v>24</v>
      </c>
      <c r="I29" s="6" t="s">
        <v>25</v>
      </c>
      <c r="J29" s="6" t="s">
        <v>26</v>
      </c>
      <c r="K29" s="6" t="s">
        <v>27</v>
      </c>
      <c r="L29" s="6" t="s">
        <v>28</v>
      </c>
      <c r="M29" s="6" t="s">
        <v>47</v>
      </c>
      <c r="N29" s="6" t="s">
        <v>48</v>
      </c>
      <c r="O29" s="6" t="s">
        <v>99</v>
      </c>
      <c r="P29" s="6" t="s">
        <v>100</v>
      </c>
      <c r="Q29" s="6" t="str">
        <f t="shared" ref="Q29:T29" si="23">P29</f>
        <v>Advertising and Marketing</v>
      </c>
      <c r="R29" s="6" t="str">
        <f t="shared" si="23"/>
        <v>Advertising and Marketing</v>
      </c>
      <c r="S29" s="6" t="str">
        <f t="shared" si="23"/>
        <v>Advertising and Marketing</v>
      </c>
      <c r="T29" s="6" t="str">
        <f t="shared" si="23"/>
        <v>Advertising and Marketing</v>
      </c>
      <c r="U29" s="7" t="s">
        <v>101</v>
      </c>
      <c r="V29" s="6" t="s">
        <v>32</v>
      </c>
      <c r="W29" s="6"/>
      <c r="X29" s="6" t="str">
        <f t="shared" si="4"/>
        <v>Advertising &amp; Marketing</v>
      </c>
    </row>
    <row r="30" spans="1:24" ht="16.05" customHeight="1" x14ac:dyDescent="0.3">
      <c r="A30" s="5" t="s">
        <v>102</v>
      </c>
      <c r="B30" s="5"/>
      <c r="C30" s="6" t="s">
        <v>103</v>
      </c>
      <c r="D30" s="6" t="str">
        <f t="shared" si="1"/>
        <v>Charitable Contributions</v>
      </c>
      <c r="E30" s="6" t="s">
        <v>22</v>
      </c>
      <c r="F30" s="6" t="s">
        <v>23</v>
      </c>
      <c r="G30" s="6" t="s">
        <v>24</v>
      </c>
      <c r="H30" s="6" t="s">
        <v>24</v>
      </c>
      <c r="I30" s="6" t="s">
        <v>25</v>
      </c>
      <c r="J30" s="6" t="s">
        <v>26</v>
      </c>
      <c r="K30" s="6" t="s">
        <v>27</v>
      </c>
      <c r="L30" s="6" t="s">
        <v>28</v>
      </c>
      <c r="M30" s="6" t="s">
        <v>47</v>
      </c>
      <c r="N30" s="6" t="s">
        <v>48</v>
      </c>
      <c r="O30" s="6" t="s">
        <v>99</v>
      </c>
      <c r="P30" s="6" t="s">
        <v>103</v>
      </c>
      <c r="Q30" s="6" t="str">
        <f t="shared" ref="Q30:T30" si="24">P30</f>
        <v>Charitable Contributions</v>
      </c>
      <c r="R30" s="6" t="str">
        <f t="shared" si="24"/>
        <v>Charitable Contributions</v>
      </c>
      <c r="S30" s="6" t="str">
        <f t="shared" si="24"/>
        <v>Charitable Contributions</v>
      </c>
      <c r="T30" s="6" t="str">
        <f t="shared" si="24"/>
        <v>Charitable Contributions</v>
      </c>
      <c r="U30" s="7" t="s">
        <v>104</v>
      </c>
      <c r="V30" s="6" t="s">
        <v>32</v>
      </c>
      <c r="W30" s="6"/>
      <c r="X30" s="6" t="str">
        <f t="shared" si="4"/>
        <v>Charitable Contributions</v>
      </c>
    </row>
    <row r="31" spans="1:24" ht="16.05" customHeight="1" x14ac:dyDescent="0.3">
      <c r="A31" s="5" t="s">
        <v>105</v>
      </c>
      <c r="B31" s="5"/>
      <c r="C31" s="6" t="s">
        <v>106</v>
      </c>
      <c r="D31" s="6" t="str">
        <f t="shared" si="1"/>
        <v>Meals &amp; Entertainment</v>
      </c>
      <c r="E31" s="6" t="s">
        <v>22</v>
      </c>
      <c r="F31" s="6" t="s">
        <v>23</v>
      </c>
      <c r="G31" s="6" t="s">
        <v>24</v>
      </c>
      <c r="H31" s="6" t="s">
        <v>24</v>
      </c>
      <c r="I31" s="6" t="s">
        <v>25</v>
      </c>
      <c r="J31" s="6" t="s">
        <v>26</v>
      </c>
      <c r="K31" s="6" t="s">
        <v>27</v>
      </c>
      <c r="L31" s="6" t="s">
        <v>28</v>
      </c>
      <c r="M31" s="6" t="s">
        <v>47</v>
      </c>
      <c r="N31" s="6" t="s">
        <v>48</v>
      </c>
      <c r="O31" s="6" t="s">
        <v>99</v>
      </c>
      <c r="P31" s="6" t="s">
        <v>107</v>
      </c>
      <c r="Q31" s="6" t="str">
        <f t="shared" ref="Q31:T31" si="25">P31</f>
        <v>Meals and Entertainment</v>
      </c>
      <c r="R31" s="6" t="str">
        <f t="shared" si="25"/>
        <v>Meals and Entertainment</v>
      </c>
      <c r="S31" s="6" t="str">
        <f t="shared" si="25"/>
        <v>Meals and Entertainment</v>
      </c>
      <c r="T31" s="6" t="str">
        <f t="shared" si="25"/>
        <v>Meals and Entertainment</v>
      </c>
      <c r="U31" s="7" t="s">
        <v>108</v>
      </c>
      <c r="V31" s="6" t="s">
        <v>32</v>
      </c>
      <c r="W31" s="6"/>
      <c r="X31" s="6" t="str">
        <f t="shared" si="4"/>
        <v>Meals &amp; Entertainment</v>
      </c>
    </row>
    <row r="32" spans="1:24" ht="16.05" customHeight="1" x14ac:dyDescent="0.3">
      <c r="A32" s="5" t="s">
        <v>109</v>
      </c>
      <c r="B32" s="5"/>
      <c r="C32" s="6" t="s">
        <v>110</v>
      </c>
      <c r="D32" s="6" t="str">
        <f t="shared" si="1"/>
        <v>Legal &amp; Professional Services</v>
      </c>
      <c r="E32" s="6" t="s">
        <v>22</v>
      </c>
      <c r="F32" s="6" t="s">
        <v>23</v>
      </c>
      <c r="G32" s="6" t="s">
        <v>24</v>
      </c>
      <c r="H32" s="6" t="s">
        <v>24</v>
      </c>
      <c r="I32" s="6" t="s">
        <v>25</v>
      </c>
      <c r="J32" s="6" t="s">
        <v>26</v>
      </c>
      <c r="K32" s="6" t="s">
        <v>27</v>
      </c>
      <c r="L32" s="6" t="s">
        <v>28</v>
      </c>
      <c r="M32" s="6" t="s">
        <v>47</v>
      </c>
      <c r="N32" s="6" t="s">
        <v>48</v>
      </c>
      <c r="O32" s="6" t="s">
        <v>111</v>
      </c>
      <c r="P32" s="6" t="s">
        <v>112</v>
      </c>
      <c r="Q32" s="6" t="str">
        <f t="shared" ref="Q32:T32" si="26">P32</f>
        <v>Legal and Professional Services</v>
      </c>
      <c r="R32" s="6" t="str">
        <f t="shared" si="26"/>
        <v>Legal and Professional Services</v>
      </c>
      <c r="S32" s="6" t="str">
        <f t="shared" si="26"/>
        <v>Legal and Professional Services</v>
      </c>
      <c r="T32" s="6" t="str">
        <f t="shared" si="26"/>
        <v>Legal and Professional Services</v>
      </c>
      <c r="U32" s="7" t="s">
        <v>113</v>
      </c>
      <c r="V32" s="6" t="s">
        <v>32</v>
      </c>
      <c r="W32" s="6"/>
      <c r="X32" s="6" t="str">
        <f t="shared" si="4"/>
        <v>Legal &amp; Professional Services</v>
      </c>
    </row>
    <row r="33" spans="1:24" ht="16.05" customHeight="1" x14ac:dyDescent="0.3">
      <c r="A33" s="5" t="s">
        <v>114</v>
      </c>
      <c r="B33" s="5"/>
      <c r="C33" s="6" t="s">
        <v>115</v>
      </c>
      <c r="D33" s="6" t="str">
        <f t="shared" si="1"/>
        <v>Office Supplies &amp; Software</v>
      </c>
      <c r="E33" s="6" t="s">
        <v>22</v>
      </c>
      <c r="F33" s="6" t="s">
        <v>23</v>
      </c>
      <c r="G33" s="6" t="s">
        <v>24</v>
      </c>
      <c r="H33" s="6" t="s">
        <v>24</v>
      </c>
      <c r="I33" s="6" t="s">
        <v>25</v>
      </c>
      <c r="J33" s="6" t="s">
        <v>26</v>
      </c>
      <c r="K33" s="6" t="s">
        <v>27</v>
      </c>
      <c r="L33" s="6" t="s">
        <v>28</v>
      </c>
      <c r="M33" s="6" t="s">
        <v>47</v>
      </c>
      <c r="N33" s="6" t="s">
        <v>48</v>
      </c>
      <c r="O33" s="6" t="s">
        <v>111</v>
      </c>
      <c r="P33" s="6" t="s">
        <v>116</v>
      </c>
      <c r="Q33" s="6" t="str">
        <f t="shared" ref="Q33:T33" si="27">P33</f>
        <v>Office Supplies and Software</v>
      </c>
      <c r="R33" s="6" t="str">
        <f t="shared" si="27"/>
        <v>Office Supplies and Software</v>
      </c>
      <c r="S33" s="6" t="str">
        <f t="shared" si="27"/>
        <v>Office Supplies and Software</v>
      </c>
      <c r="T33" s="6" t="str">
        <f t="shared" si="27"/>
        <v>Office Supplies and Software</v>
      </c>
      <c r="U33" s="7" t="s">
        <v>117</v>
      </c>
      <c r="V33" s="6" t="s">
        <v>32</v>
      </c>
      <c r="W33" s="6"/>
      <c r="X33" s="6" t="str">
        <f t="shared" si="4"/>
        <v>Office Supplies &amp; Software</v>
      </c>
    </row>
    <row r="34" spans="1:24" ht="16.05" customHeight="1" x14ac:dyDescent="0.3">
      <c r="A34" s="5" t="s">
        <v>118</v>
      </c>
      <c r="B34" s="5"/>
      <c r="C34" s="6" t="s">
        <v>119</v>
      </c>
      <c r="D34" s="6" t="str">
        <f t="shared" si="1"/>
        <v>Office / General Administrative Expenses</v>
      </c>
      <c r="E34" s="6" t="s">
        <v>22</v>
      </c>
      <c r="F34" s="6" t="s">
        <v>23</v>
      </c>
      <c r="G34" s="6" t="s">
        <v>24</v>
      </c>
      <c r="H34" s="6" t="s">
        <v>24</v>
      </c>
      <c r="I34" s="6" t="s">
        <v>25</v>
      </c>
      <c r="J34" s="6" t="s">
        <v>26</v>
      </c>
      <c r="K34" s="6" t="s">
        <v>27</v>
      </c>
      <c r="L34" s="6" t="s">
        <v>28</v>
      </c>
      <c r="M34" s="6" t="s">
        <v>47</v>
      </c>
      <c r="N34" s="6" t="s">
        <v>48</v>
      </c>
      <c r="O34" s="6" t="s">
        <v>111</v>
      </c>
      <c r="P34" s="6" t="s">
        <v>120</v>
      </c>
      <c r="Q34" s="6" t="str">
        <f t="shared" ref="Q34:T34" si="28">P34</f>
        <v>General Administrative Expenses</v>
      </c>
      <c r="R34" s="6" t="str">
        <f t="shared" si="28"/>
        <v>General Administrative Expenses</v>
      </c>
      <c r="S34" s="6" t="str">
        <f t="shared" si="28"/>
        <v>General Administrative Expenses</v>
      </c>
      <c r="T34" s="6" t="str">
        <f t="shared" si="28"/>
        <v>General Administrative Expenses</v>
      </c>
      <c r="U34" s="7" t="s">
        <v>121</v>
      </c>
      <c r="V34" s="6" t="s">
        <v>32</v>
      </c>
      <c r="W34" s="6"/>
      <c r="X34" s="6" t="str">
        <f t="shared" si="4"/>
        <v>Office / General Administrative Expenses</v>
      </c>
    </row>
    <row r="35" spans="1:24" ht="16.05" customHeight="1" x14ac:dyDescent="0.3">
      <c r="A35" s="5" t="s">
        <v>122</v>
      </c>
      <c r="B35" s="5"/>
      <c r="C35" s="6" t="s">
        <v>123</v>
      </c>
      <c r="D35" s="6" t="str">
        <f t="shared" si="1"/>
        <v>Subscriptions</v>
      </c>
      <c r="E35" s="6" t="s">
        <v>22</v>
      </c>
      <c r="F35" s="6" t="s">
        <v>23</v>
      </c>
      <c r="G35" s="6" t="s">
        <v>24</v>
      </c>
      <c r="H35" s="6" t="s">
        <v>24</v>
      </c>
      <c r="I35" s="6" t="s">
        <v>25</v>
      </c>
      <c r="J35" s="6" t="s">
        <v>26</v>
      </c>
      <c r="K35" s="6" t="s">
        <v>27</v>
      </c>
      <c r="L35" s="6" t="s">
        <v>28</v>
      </c>
      <c r="M35" s="6" t="s">
        <v>47</v>
      </c>
      <c r="N35" s="6" t="s">
        <v>48</v>
      </c>
      <c r="O35" s="6" t="s">
        <v>111</v>
      </c>
      <c r="P35" s="6" t="s">
        <v>123</v>
      </c>
      <c r="Q35" s="6" t="str">
        <f t="shared" ref="Q35:T35" si="29">P35</f>
        <v>Subscriptions</v>
      </c>
      <c r="R35" s="6" t="str">
        <f t="shared" si="29"/>
        <v>Subscriptions</v>
      </c>
      <c r="S35" s="6" t="str">
        <f t="shared" si="29"/>
        <v>Subscriptions</v>
      </c>
      <c r="T35" s="6" t="str">
        <f t="shared" si="29"/>
        <v>Subscriptions</v>
      </c>
      <c r="U35" s="7" t="s">
        <v>124</v>
      </c>
      <c r="V35" s="6" t="s">
        <v>32</v>
      </c>
      <c r="W35" s="6"/>
      <c r="X35" s="6" t="str">
        <f t="shared" si="4"/>
        <v>Subscriptions</v>
      </c>
    </row>
    <row r="36" spans="1:24" ht="16.05" customHeight="1" x14ac:dyDescent="0.3">
      <c r="A36" s="5" t="s">
        <v>125</v>
      </c>
      <c r="B36" s="5"/>
      <c r="C36" s="6" t="s">
        <v>126</v>
      </c>
      <c r="D36" s="6" t="str">
        <f t="shared" si="1"/>
        <v>Telephone</v>
      </c>
      <c r="E36" s="6" t="s">
        <v>22</v>
      </c>
      <c r="F36" s="6" t="s">
        <v>23</v>
      </c>
      <c r="G36" s="6" t="s">
        <v>24</v>
      </c>
      <c r="H36" s="6" t="s">
        <v>24</v>
      </c>
      <c r="I36" s="6" t="s">
        <v>25</v>
      </c>
      <c r="J36" s="6" t="s">
        <v>26</v>
      </c>
      <c r="K36" s="6" t="s">
        <v>27</v>
      </c>
      <c r="L36" s="6" t="s">
        <v>28</v>
      </c>
      <c r="M36" s="6" t="s">
        <v>47</v>
      </c>
      <c r="N36" s="6" t="s">
        <v>48</v>
      </c>
      <c r="O36" s="6" t="s">
        <v>111</v>
      </c>
      <c r="P36" s="6" t="s">
        <v>126</v>
      </c>
      <c r="Q36" s="6" t="str">
        <f t="shared" ref="Q36:T36" si="30">P36</f>
        <v>Telephone</v>
      </c>
      <c r="R36" s="6" t="str">
        <f t="shared" si="30"/>
        <v>Telephone</v>
      </c>
      <c r="S36" s="6" t="str">
        <f t="shared" si="30"/>
        <v>Telephone</v>
      </c>
      <c r="T36" s="6" t="str">
        <f t="shared" si="30"/>
        <v>Telephone</v>
      </c>
      <c r="U36" s="7" t="s">
        <v>127</v>
      </c>
      <c r="V36" s="6" t="s">
        <v>32</v>
      </c>
      <c r="W36" s="6"/>
      <c r="X36" s="6" t="str">
        <f t="shared" si="4"/>
        <v>Telephone</v>
      </c>
    </row>
    <row r="37" spans="1:24" ht="16.05" customHeight="1" x14ac:dyDescent="0.3">
      <c r="A37" s="5" t="s">
        <v>128</v>
      </c>
      <c r="B37" s="5"/>
      <c r="C37" s="6" t="s">
        <v>129</v>
      </c>
      <c r="D37" s="6" t="str">
        <f t="shared" si="1"/>
        <v>Bank Charges &amp; Fees</v>
      </c>
      <c r="E37" s="6" t="s">
        <v>22</v>
      </c>
      <c r="F37" s="6" t="s">
        <v>23</v>
      </c>
      <c r="G37" s="6" t="s">
        <v>24</v>
      </c>
      <c r="H37" s="6" t="s">
        <v>24</v>
      </c>
      <c r="I37" s="6" t="s">
        <v>25</v>
      </c>
      <c r="J37" s="6" t="s">
        <v>26</v>
      </c>
      <c r="K37" s="6" t="s">
        <v>27</v>
      </c>
      <c r="L37" s="6" t="s">
        <v>28</v>
      </c>
      <c r="M37" s="6" t="s">
        <v>47</v>
      </c>
      <c r="N37" s="6" t="s">
        <v>48</v>
      </c>
      <c r="O37" s="6" t="s">
        <v>111</v>
      </c>
      <c r="P37" s="6" t="s">
        <v>130</v>
      </c>
      <c r="Q37" s="6" t="str">
        <f t="shared" ref="Q37:T37" si="31">P37</f>
        <v>Bank Charges and Fees</v>
      </c>
      <c r="R37" s="6" t="str">
        <f t="shared" si="31"/>
        <v>Bank Charges and Fees</v>
      </c>
      <c r="S37" s="6" t="str">
        <f t="shared" si="31"/>
        <v>Bank Charges and Fees</v>
      </c>
      <c r="T37" s="6" t="str">
        <f t="shared" si="31"/>
        <v>Bank Charges and Fees</v>
      </c>
      <c r="U37" s="7" t="s">
        <v>131</v>
      </c>
      <c r="V37" s="6" t="s">
        <v>32</v>
      </c>
      <c r="W37" s="6"/>
      <c r="X37" s="6" t="str">
        <f t="shared" si="4"/>
        <v>Bank Charges &amp; Fees</v>
      </c>
    </row>
    <row r="38" spans="1:24" ht="16.05" customHeight="1" x14ac:dyDescent="0.3">
      <c r="A38" s="5" t="s">
        <v>132</v>
      </c>
      <c r="B38" s="5"/>
      <c r="C38" s="6" t="s">
        <v>133</v>
      </c>
      <c r="D38" s="6" t="str">
        <f t="shared" si="1"/>
        <v>Credit Card Bill</v>
      </c>
      <c r="E38" s="6" t="s">
        <v>22</v>
      </c>
      <c r="F38" s="6" t="s">
        <v>23</v>
      </c>
      <c r="G38" s="6" t="s">
        <v>24</v>
      </c>
      <c r="H38" s="6" t="s">
        <v>24</v>
      </c>
      <c r="I38" s="6" t="s">
        <v>25</v>
      </c>
      <c r="J38" s="6" t="s">
        <v>26</v>
      </c>
      <c r="K38" s="6" t="s">
        <v>27</v>
      </c>
      <c r="L38" s="6" t="s">
        <v>28</v>
      </c>
      <c r="M38" s="6" t="s">
        <v>47</v>
      </c>
      <c r="N38" s="6" t="s">
        <v>48</v>
      </c>
      <c r="O38" s="6" t="s">
        <v>111</v>
      </c>
      <c r="P38" s="6" t="s">
        <v>133</v>
      </c>
      <c r="Q38" s="6" t="str">
        <f t="shared" ref="Q38:T38" si="32">P38</f>
        <v>Credit Card Bill</v>
      </c>
      <c r="R38" s="6" t="str">
        <f t="shared" si="32"/>
        <v>Credit Card Bill</v>
      </c>
      <c r="S38" s="6" t="str">
        <f t="shared" si="32"/>
        <v>Credit Card Bill</v>
      </c>
      <c r="T38" s="6" t="str">
        <f t="shared" si="32"/>
        <v>Credit Card Bill</v>
      </c>
      <c r="U38" s="7" t="s">
        <v>134</v>
      </c>
      <c r="V38" s="6" t="s">
        <v>32</v>
      </c>
      <c r="W38" s="6"/>
      <c r="X38" s="6" t="str">
        <f t="shared" si="4"/>
        <v>Credit Card Bill</v>
      </c>
    </row>
    <row r="39" spans="1:24" ht="16.05" customHeight="1" x14ac:dyDescent="0.3">
      <c r="A39" s="5" t="s">
        <v>135</v>
      </c>
      <c r="B39" s="5"/>
      <c r="C39" s="6" t="s">
        <v>136</v>
      </c>
      <c r="D39" s="6" t="str">
        <f t="shared" si="1"/>
        <v>Credit Card Charges / Fees</v>
      </c>
      <c r="E39" s="6" t="s">
        <v>22</v>
      </c>
      <c r="F39" s="6" t="s">
        <v>23</v>
      </c>
      <c r="G39" s="6" t="s">
        <v>24</v>
      </c>
      <c r="H39" s="6" t="s">
        <v>24</v>
      </c>
      <c r="I39" s="6" t="s">
        <v>25</v>
      </c>
      <c r="J39" s="6" t="s">
        <v>26</v>
      </c>
      <c r="K39" s="6" t="s">
        <v>27</v>
      </c>
      <c r="L39" s="6" t="s">
        <v>28</v>
      </c>
      <c r="M39" s="6" t="s">
        <v>47</v>
      </c>
      <c r="N39" s="6" t="s">
        <v>48</v>
      </c>
      <c r="O39" s="6" t="s">
        <v>111</v>
      </c>
      <c r="P39" s="6" t="s">
        <v>137</v>
      </c>
      <c r="Q39" s="6" t="str">
        <f t="shared" ref="Q39:T39" si="33">P39</f>
        <v>Credit Card Charges and Fees</v>
      </c>
      <c r="R39" s="6" t="str">
        <f t="shared" si="33"/>
        <v>Credit Card Charges and Fees</v>
      </c>
      <c r="S39" s="6" t="str">
        <f t="shared" si="33"/>
        <v>Credit Card Charges and Fees</v>
      </c>
      <c r="T39" s="6" t="str">
        <f t="shared" si="33"/>
        <v>Credit Card Charges and Fees</v>
      </c>
      <c r="U39" s="7" t="s">
        <v>138</v>
      </c>
      <c r="V39" s="6" t="s">
        <v>32</v>
      </c>
      <c r="W39" s="6"/>
      <c r="X39" s="6" t="str">
        <f t="shared" si="4"/>
        <v>Credit Card Charges / Fees</v>
      </c>
    </row>
    <row r="40" spans="1:24" ht="16.05" customHeight="1" x14ac:dyDescent="0.3">
      <c r="A40" s="5" t="s">
        <v>139</v>
      </c>
      <c r="B40" s="5"/>
      <c r="C40" s="6" t="s">
        <v>140</v>
      </c>
      <c r="D40" s="6" t="str">
        <f t="shared" si="1"/>
        <v>Taxes &amp; Licenses</v>
      </c>
      <c r="E40" s="6" t="s">
        <v>22</v>
      </c>
      <c r="F40" s="6" t="s">
        <v>23</v>
      </c>
      <c r="G40" s="6" t="s">
        <v>24</v>
      </c>
      <c r="H40" s="6" t="s">
        <v>24</v>
      </c>
      <c r="I40" s="6" t="s">
        <v>25</v>
      </c>
      <c r="J40" s="6" t="s">
        <v>26</v>
      </c>
      <c r="K40" s="6" t="s">
        <v>27</v>
      </c>
      <c r="L40" s="6" t="s">
        <v>28</v>
      </c>
      <c r="M40" s="6" t="s">
        <v>47</v>
      </c>
      <c r="N40" s="6" t="s">
        <v>48</v>
      </c>
      <c r="O40" s="6" t="s">
        <v>111</v>
      </c>
      <c r="P40" s="6" t="s">
        <v>141</v>
      </c>
      <c r="Q40" s="6" t="str">
        <f t="shared" ref="Q40:T40" si="34">P40</f>
        <v>Taxes and Licenses</v>
      </c>
      <c r="R40" s="6" t="str">
        <f t="shared" si="34"/>
        <v>Taxes and Licenses</v>
      </c>
      <c r="S40" s="6" t="str">
        <f t="shared" si="34"/>
        <v>Taxes and Licenses</v>
      </c>
      <c r="T40" s="6" t="str">
        <f t="shared" si="34"/>
        <v>Taxes and Licenses</v>
      </c>
      <c r="U40" s="7" t="s">
        <v>142</v>
      </c>
      <c r="V40" s="6" t="s">
        <v>32</v>
      </c>
      <c r="W40" s="6"/>
      <c r="X40" s="6" t="str">
        <f t="shared" si="4"/>
        <v>Taxes &amp; Licenses</v>
      </c>
    </row>
    <row r="41" spans="1:24" ht="16.05" customHeight="1" x14ac:dyDescent="0.3">
      <c r="A41" s="5" t="s">
        <v>143</v>
      </c>
      <c r="B41" s="5"/>
      <c r="C41" s="6" t="s">
        <v>144</v>
      </c>
      <c r="D41" s="6" t="str">
        <f t="shared" si="1"/>
        <v>Car &amp; Truck</v>
      </c>
      <c r="E41" s="6" t="s">
        <v>22</v>
      </c>
      <c r="F41" s="6" t="s">
        <v>23</v>
      </c>
      <c r="G41" s="6" t="s">
        <v>24</v>
      </c>
      <c r="H41" s="6" t="s">
        <v>24</v>
      </c>
      <c r="I41" s="6" t="s">
        <v>25</v>
      </c>
      <c r="J41" s="6" t="s">
        <v>26</v>
      </c>
      <c r="K41" s="6" t="s">
        <v>27</v>
      </c>
      <c r="L41" s="6" t="s">
        <v>28</v>
      </c>
      <c r="M41" s="6" t="s">
        <v>47</v>
      </c>
      <c r="N41" s="6" t="s">
        <v>48</v>
      </c>
      <c r="O41" s="6" t="s">
        <v>145</v>
      </c>
      <c r="P41" s="6" t="s">
        <v>146</v>
      </c>
      <c r="Q41" s="6" t="str">
        <f t="shared" ref="Q41:T41" si="35">P41</f>
        <v>Car and Truck</v>
      </c>
      <c r="R41" s="6" t="str">
        <f t="shared" si="35"/>
        <v>Car and Truck</v>
      </c>
      <c r="S41" s="6" t="str">
        <f t="shared" si="35"/>
        <v>Car and Truck</v>
      </c>
      <c r="T41" s="6" t="str">
        <f t="shared" si="35"/>
        <v>Car and Truck</v>
      </c>
      <c r="U41" s="7" t="s">
        <v>147</v>
      </c>
      <c r="V41" s="6" t="s">
        <v>32</v>
      </c>
      <c r="W41" s="6"/>
      <c r="X41" s="6" t="str">
        <f t="shared" si="4"/>
        <v>Car &amp; Truck</v>
      </c>
    </row>
    <row r="42" spans="1:24" ht="16.05" customHeight="1" x14ac:dyDescent="0.3">
      <c r="A42" s="5" t="s">
        <v>148</v>
      </c>
      <c r="B42" s="5"/>
      <c r="C42" s="6" t="s">
        <v>149</v>
      </c>
      <c r="D42" s="6" t="str">
        <f t="shared" si="1"/>
        <v>Travel</v>
      </c>
      <c r="E42" s="6" t="s">
        <v>22</v>
      </c>
      <c r="F42" s="6" t="s">
        <v>23</v>
      </c>
      <c r="G42" s="6" t="s">
        <v>24</v>
      </c>
      <c r="H42" s="6" t="s">
        <v>24</v>
      </c>
      <c r="I42" s="6" t="s">
        <v>25</v>
      </c>
      <c r="J42" s="6" t="s">
        <v>26</v>
      </c>
      <c r="K42" s="6" t="s">
        <v>27</v>
      </c>
      <c r="L42" s="6" t="s">
        <v>28</v>
      </c>
      <c r="M42" s="6" t="s">
        <v>47</v>
      </c>
      <c r="N42" s="6" t="s">
        <v>48</v>
      </c>
      <c r="O42" s="6" t="s">
        <v>145</v>
      </c>
      <c r="P42" s="6" t="s">
        <v>149</v>
      </c>
      <c r="Q42" s="6" t="str">
        <f t="shared" ref="Q42:T42" si="36">P42</f>
        <v>Travel</v>
      </c>
      <c r="R42" s="6" t="str">
        <f t="shared" si="36"/>
        <v>Travel</v>
      </c>
      <c r="S42" s="6" t="str">
        <f t="shared" si="36"/>
        <v>Travel</v>
      </c>
      <c r="T42" s="6" t="str">
        <f t="shared" si="36"/>
        <v>Travel</v>
      </c>
      <c r="U42" s="7" t="s">
        <v>150</v>
      </c>
      <c r="V42" s="6" t="s">
        <v>32</v>
      </c>
      <c r="W42" s="6"/>
      <c r="X42" s="6" t="str">
        <f t="shared" si="4"/>
        <v>Travel</v>
      </c>
    </row>
    <row r="43" spans="1:24" ht="16.05" customHeight="1" x14ac:dyDescent="0.3">
      <c r="A43" s="5" t="s">
        <v>151</v>
      </c>
      <c r="B43" s="5"/>
      <c r="C43" s="6" t="s">
        <v>152</v>
      </c>
      <c r="D43" s="6" t="str">
        <f t="shared" si="1"/>
        <v>Repairs &amp; Maintenance</v>
      </c>
      <c r="E43" s="6" t="s">
        <v>22</v>
      </c>
      <c r="F43" s="6" t="s">
        <v>23</v>
      </c>
      <c r="G43" s="6" t="s">
        <v>24</v>
      </c>
      <c r="H43" s="6" t="s">
        <v>24</v>
      </c>
      <c r="I43" s="6" t="s">
        <v>25</v>
      </c>
      <c r="J43" s="6" t="s">
        <v>26</v>
      </c>
      <c r="K43" s="6" t="s">
        <v>27</v>
      </c>
      <c r="L43" s="6" t="s">
        <v>28</v>
      </c>
      <c r="M43" s="6" t="s">
        <v>47</v>
      </c>
      <c r="N43" s="6" t="s">
        <v>48</v>
      </c>
      <c r="O43" s="6" t="s">
        <v>153</v>
      </c>
      <c r="P43" s="6" t="s">
        <v>153</v>
      </c>
      <c r="Q43" s="6" t="str">
        <f t="shared" ref="Q43:T43" si="37">P43</f>
        <v>Repairs and Maintenance</v>
      </c>
      <c r="R43" s="6" t="str">
        <f t="shared" si="37"/>
        <v>Repairs and Maintenance</v>
      </c>
      <c r="S43" s="6" t="str">
        <f t="shared" si="37"/>
        <v>Repairs and Maintenance</v>
      </c>
      <c r="T43" s="6" t="str">
        <f t="shared" si="37"/>
        <v>Repairs and Maintenance</v>
      </c>
      <c r="U43" s="7" t="s">
        <v>154</v>
      </c>
      <c r="V43" s="6" t="s">
        <v>32</v>
      </c>
      <c r="W43" s="6"/>
      <c r="X43" s="6" t="str">
        <f t="shared" si="4"/>
        <v>Repairs &amp; Maintenance</v>
      </c>
    </row>
    <row r="44" spans="1:24" ht="16.05" customHeight="1" x14ac:dyDescent="0.3">
      <c r="A44" s="5" t="s">
        <v>155</v>
      </c>
      <c r="B44" s="5"/>
      <c r="C44" s="6" t="s">
        <v>156</v>
      </c>
      <c r="D44" s="6" t="str">
        <f t="shared" si="1"/>
        <v>Rubbish</v>
      </c>
      <c r="E44" s="6" t="s">
        <v>22</v>
      </c>
      <c r="F44" s="6" t="s">
        <v>23</v>
      </c>
      <c r="G44" s="6" t="s">
        <v>24</v>
      </c>
      <c r="H44" s="6" t="s">
        <v>24</v>
      </c>
      <c r="I44" s="6" t="s">
        <v>25</v>
      </c>
      <c r="J44" s="6" t="s">
        <v>26</v>
      </c>
      <c r="K44" s="6" t="s">
        <v>27</v>
      </c>
      <c r="L44" s="6" t="s">
        <v>28</v>
      </c>
      <c r="M44" s="6" t="s">
        <v>47</v>
      </c>
      <c r="N44" s="6" t="s">
        <v>48</v>
      </c>
      <c r="O44" s="6" t="s">
        <v>153</v>
      </c>
      <c r="P44" s="6" t="s">
        <v>157</v>
      </c>
      <c r="Q44" s="6" t="str">
        <f t="shared" ref="Q44:T44" si="38">P44</f>
        <v>Rubbish Removal</v>
      </c>
      <c r="R44" s="6" t="str">
        <f t="shared" si="38"/>
        <v>Rubbish Removal</v>
      </c>
      <c r="S44" s="6" t="str">
        <f t="shared" si="38"/>
        <v>Rubbish Removal</v>
      </c>
      <c r="T44" s="6" t="str">
        <f t="shared" si="38"/>
        <v>Rubbish Removal</v>
      </c>
      <c r="U44" s="7" t="s">
        <v>158</v>
      </c>
      <c r="V44" s="6" t="s">
        <v>32</v>
      </c>
      <c r="W44" s="6"/>
      <c r="X44" s="6" t="str">
        <f t="shared" si="4"/>
        <v>Rubbish</v>
      </c>
    </row>
    <row r="45" spans="1:24" ht="16.05" customHeight="1" x14ac:dyDescent="0.3">
      <c r="A45" s="5" t="s">
        <v>159</v>
      </c>
      <c r="B45" s="5"/>
      <c r="C45" s="6" t="s">
        <v>160</v>
      </c>
      <c r="D45" s="6" t="str">
        <f t="shared" si="1"/>
        <v>Depreciation</v>
      </c>
      <c r="E45" s="6" t="s">
        <v>22</v>
      </c>
      <c r="F45" s="6" t="s">
        <v>23</v>
      </c>
      <c r="G45" s="6" t="s">
        <v>24</v>
      </c>
      <c r="H45" s="6" t="s">
        <v>24</v>
      </c>
      <c r="I45" s="6" t="s">
        <v>25</v>
      </c>
      <c r="J45" s="6" t="s">
        <v>26</v>
      </c>
      <c r="K45" s="6" t="s">
        <v>27</v>
      </c>
      <c r="L45" s="6" t="s">
        <v>28</v>
      </c>
      <c r="M45" s="6" t="s">
        <v>47</v>
      </c>
      <c r="N45" s="6" t="s">
        <v>48</v>
      </c>
      <c r="O45" s="6" t="s">
        <v>161</v>
      </c>
      <c r="P45" s="6" t="s">
        <v>160</v>
      </c>
      <c r="Q45" s="6" t="str">
        <f t="shared" ref="Q45:T45" si="39">P45</f>
        <v>Depreciation</v>
      </c>
      <c r="R45" s="6" t="str">
        <f t="shared" si="39"/>
        <v>Depreciation</v>
      </c>
      <c r="S45" s="6" t="str">
        <f t="shared" si="39"/>
        <v>Depreciation</v>
      </c>
      <c r="T45" s="6" t="str">
        <f t="shared" si="39"/>
        <v>Depreciation</v>
      </c>
      <c r="U45" s="7" t="s">
        <v>162</v>
      </c>
      <c r="V45" s="6" t="s">
        <v>32</v>
      </c>
      <c r="W45" s="6"/>
      <c r="X45" s="6" t="str">
        <f t="shared" si="4"/>
        <v>Depreciation</v>
      </c>
    </row>
    <row r="46" spans="1:24" ht="16.05" customHeight="1" x14ac:dyDescent="0.3">
      <c r="A46" s="5" t="s">
        <v>163</v>
      </c>
      <c r="B46" s="5"/>
      <c r="C46" s="6" t="s">
        <v>164</v>
      </c>
      <c r="D46" s="6" t="str">
        <f t="shared" si="1"/>
        <v>Interest Paid</v>
      </c>
      <c r="E46" s="6" t="s">
        <v>22</v>
      </c>
      <c r="F46" s="6" t="s">
        <v>23</v>
      </c>
      <c r="G46" s="6" t="s">
        <v>24</v>
      </c>
      <c r="H46" s="6" t="s">
        <v>24</v>
      </c>
      <c r="I46" s="6" t="s">
        <v>25</v>
      </c>
      <c r="J46" s="6" t="s">
        <v>26</v>
      </c>
      <c r="K46" s="6" t="s">
        <v>27</v>
      </c>
      <c r="L46" s="6" t="s">
        <v>28</v>
      </c>
      <c r="M46" s="6" t="s">
        <v>47</v>
      </c>
      <c r="N46" s="6" t="s">
        <v>48</v>
      </c>
      <c r="O46" s="6" t="s">
        <v>161</v>
      </c>
      <c r="P46" s="6" t="s">
        <v>164</v>
      </c>
      <c r="Q46" s="6" t="str">
        <f t="shared" ref="Q46:T46" si="40">P46</f>
        <v>Interest Paid</v>
      </c>
      <c r="R46" s="6" t="str">
        <f t="shared" si="40"/>
        <v>Interest Paid</v>
      </c>
      <c r="S46" s="6" t="str">
        <f t="shared" si="40"/>
        <v>Interest Paid</v>
      </c>
      <c r="T46" s="6" t="str">
        <f t="shared" si="40"/>
        <v>Interest Paid</v>
      </c>
      <c r="U46" s="7" t="s">
        <v>165</v>
      </c>
      <c r="V46" s="6" t="s">
        <v>32</v>
      </c>
      <c r="W46" s="6"/>
      <c r="X46" s="6" t="str">
        <f t="shared" si="4"/>
        <v>Interest Paid</v>
      </c>
    </row>
    <row r="47" spans="1:24" ht="16.05" customHeight="1" x14ac:dyDescent="0.3">
      <c r="A47" s="5" t="s">
        <v>166</v>
      </c>
      <c r="B47" s="5"/>
      <c r="C47" s="6" t="s">
        <v>167</v>
      </c>
      <c r="D47" s="6" t="str">
        <f t="shared" si="1"/>
        <v>Education</v>
      </c>
      <c r="E47" s="6" t="s">
        <v>22</v>
      </c>
      <c r="F47" s="6" t="s">
        <v>23</v>
      </c>
      <c r="G47" s="6" t="s">
        <v>24</v>
      </c>
      <c r="H47" s="6" t="s">
        <v>24</v>
      </c>
      <c r="I47" s="6" t="s">
        <v>25</v>
      </c>
      <c r="J47" s="6" t="s">
        <v>26</v>
      </c>
      <c r="K47" s="6" t="s">
        <v>27</v>
      </c>
      <c r="L47" s="6" t="s">
        <v>28</v>
      </c>
      <c r="M47" s="6" t="s">
        <v>47</v>
      </c>
      <c r="N47" s="6" t="s">
        <v>48</v>
      </c>
      <c r="O47" s="6" t="s">
        <v>161</v>
      </c>
      <c r="P47" s="6" t="s">
        <v>167</v>
      </c>
      <c r="Q47" s="6" t="str">
        <f t="shared" ref="Q47:T47" si="41">P47</f>
        <v>Education</v>
      </c>
      <c r="R47" s="6" t="str">
        <f t="shared" si="41"/>
        <v>Education</v>
      </c>
      <c r="S47" s="6" t="str">
        <f t="shared" si="41"/>
        <v>Education</v>
      </c>
      <c r="T47" s="6" t="str">
        <f t="shared" si="41"/>
        <v>Education</v>
      </c>
      <c r="U47" s="7" t="s">
        <v>168</v>
      </c>
      <c r="V47" s="6" t="s">
        <v>169</v>
      </c>
      <c r="W47" s="6"/>
      <c r="X47" s="6" t="str">
        <f t="shared" si="4"/>
        <v>Education</v>
      </c>
    </row>
    <row r="48" spans="1:24" ht="16.05" customHeight="1"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row>
    <row r="49" spans="1:24" ht="16.05" customHeight="1"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ht="16.05" customHeight="1" x14ac:dyDescent="0.3">
      <c r="A50" s="8" t="s">
        <v>170</v>
      </c>
      <c r="B50" s="8"/>
      <c r="C50" s="9" t="s">
        <v>171</v>
      </c>
      <c r="D50" s="9" t="str">
        <f t="shared" si="1"/>
        <v>Provident Bank Money Market Checking</v>
      </c>
      <c r="E50" s="9" t="s">
        <v>172</v>
      </c>
      <c r="F50" s="9" t="s">
        <v>173</v>
      </c>
      <c r="G50" s="9" t="s">
        <v>173</v>
      </c>
      <c r="H50" s="9" t="s">
        <v>174</v>
      </c>
      <c r="I50" s="9" t="s">
        <v>175</v>
      </c>
      <c r="J50" s="9" t="s">
        <v>171</v>
      </c>
      <c r="K50" s="9" t="str">
        <f t="shared" ref="K50:T50" si="42">J50</f>
        <v>Provident Bank Money Market Checking</v>
      </c>
      <c r="L50" s="9" t="str">
        <f t="shared" si="42"/>
        <v>Provident Bank Money Market Checking</v>
      </c>
      <c r="M50" s="9" t="str">
        <f t="shared" si="42"/>
        <v>Provident Bank Money Market Checking</v>
      </c>
      <c r="N50" s="9" t="str">
        <f t="shared" si="42"/>
        <v>Provident Bank Money Market Checking</v>
      </c>
      <c r="O50" s="9" t="str">
        <f t="shared" si="42"/>
        <v>Provident Bank Money Market Checking</v>
      </c>
      <c r="P50" s="9" t="str">
        <f t="shared" si="42"/>
        <v>Provident Bank Money Market Checking</v>
      </c>
      <c r="Q50" s="9" t="str">
        <f t="shared" si="42"/>
        <v>Provident Bank Money Market Checking</v>
      </c>
      <c r="R50" s="9" t="str">
        <f t="shared" si="42"/>
        <v>Provident Bank Money Market Checking</v>
      </c>
      <c r="S50" s="9" t="str">
        <f t="shared" si="42"/>
        <v>Provident Bank Money Market Checking</v>
      </c>
      <c r="T50" s="9" t="str">
        <f t="shared" si="42"/>
        <v>Provident Bank Money Market Checking</v>
      </c>
      <c r="U50" s="10" t="s">
        <v>176</v>
      </c>
      <c r="V50" s="9" t="s">
        <v>32</v>
      </c>
      <c r="W50" s="9"/>
      <c r="X50" s="9" t="str">
        <f t="shared" si="4"/>
        <v>Provident Bank Money Market Checking</v>
      </c>
    </row>
    <row r="51" spans="1:24" ht="16.05" customHeight="1" x14ac:dyDescent="0.3">
      <c r="A51" s="8" t="s">
        <v>177</v>
      </c>
      <c r="B51" s="8"/>
      <c r="C51" s="9" t="s">
        <v>178</v>
      </c>
      <c r="D51" s="9" t="str">
        <f t="shared" si="1"/>
        <v>Business Checking (7454)</v>
      </c>
      <c r="E51" s="9" t="s">
        <v>172</v>
      </c>
      <c r="F51" s="9" t="s">
        <v>173</v>
      </c>
      <c r="G51" s="9" t="s">
        <v>173</v>
      </c>
      <c r="H51" s="9" t="s">
        <v>174</v>
      </c>
      <c r="I51" s="9" t="s">
        <v>175</v>
      </c>
      <c r="J51" s="9" t="s">
        <v>178</v>
      </c>
      <c r="K51" s="9" t="str">
        <f t="shared" ref="K51:T51" si="43">J51</f>
        <v>Business Checking (7454)</v>
      </c>
      <c r="L51" s="9" t="str">
        <f t="shared" si="43"/>
        <v>Business Checking (7454)</v>
      </c>
      <c r="M51" s="9" t="str">
        <f t="shared" si="43"/>
        <v>Business Checking (7454)</v>
      </c>
      <c r="N51" s="9" t="str">
        <f t="shared" si="43"/>
        <v>Business Checking (7454)</v>
      </c>
      <c r="O51" s="9" t="str">
        <f t="shared" si="43"/>
        <v>Business Checking (7454)</v>
      </c>
      <c r="P51" s="9" t="str">
        <f t="shared" si="43"/>
        <v>Business Checking (7454)</v>
      </c>
      <c r="Q51" s="9" t="str">
        <f t="shared" si="43"/>
        <v>Business Checking (7454)</v>
      </c>
      <c r="R51" s="9" t="str">
        <f t="shared" si="43"/>
        <v>Business Checking (7454)</v>
      </c>
      <c r="S51" s="9" t="str">
        <f t="shared" si="43"/>
        <v>Business Checking (7454)</v>
      </c>
      <c r="T51" s="9" t="str">
        <f t="shared" si="43"/>
        <v>Business Checking (7454)</v>
      </c>
      <c r="U51" s="10" t="s">
        <v>179</v>
      </c>
      <c r="V51" s="9" t="s">
        <v>32</v>
      </c>
      <c r="W51" s="9"/>
      <c r="X51" s="9" t="str">
        <f t="shared" si="4"/>
        <v>Business Checking (7454)</v>
      </c>
    </row>
    <row r="52" spans="1:24" ht="16.05" customHeight="1" x14ac:dyDescent="0.3">
      <c r="A52" s="8" t="s">
        <v>180</v>
      </c>
      <c r="B52" s="8"/>
      <c r="C52" s="9" t="s">
        <v>181</v>
      </c>
      <c r="D52" s="9" t="str">
        <f t="shared" si="1"/>
        <v>Business Money Market</v>
      </c>
      <c r="E52" s="9" t="s">
        <v>172</v>
      </c>
      <c r="F52" s="9" t="s">
        <v>173</v>
      </c>
      <c r="G52" s="9" t="s">
        <v>173</v>
      </c>
      <c r="H52" s="9" t="s">
        <v>174</v>
      </c>
      <c r="I52" s="9" t="s">
        <v>175</v>
      </c>
      <c r="J52" s="9" t="s">
        <v>181</v>
      </c>
      <c r="K52" s="9" t="str">
        <f t="shared" ref="K52:T52" si="44">J52</f>
        <v>Business Money Market</v>
      </c>
      <c r="L52" s="9" t="str">
        <f t="shared" si="44"/>
        <v>Business Money Market</v>
      </c>
      <c r="M52" s="9" t="str">
        <f t="shared" si="44"/>
        <v>Business Money Market</v>
      </c>
      <c r="N52" s="9" t="str">
        <f t="shared" si="44"/>
        <v>Business Money Market</v>
      </c>
      <c r="O52" s="9" t="str">
        <f t="shared" si="44"/>
        <v>Business Money Market</v>
      </c>
      <c r="P52" s="9" t="str">
        <f t="shared" si="44"/>
        <v>Business Money Market</v>
      </c>
      <c r="Q52" s="9" t="str">
        <f t="shared" si="44"/>
        <v>Business Money Market</v>
      </c>
      <c r="R52" s="9" t="str">
        <f t="shared" si="44"/>
        <v>Business Money Market</v>
      </c>
      <c r="S52" s="9" t="str">
        <f t="shared" si="44"/>
        <v>Business Money Market</v>
      </c>
      <c r="T52" s="9" t="str">
        <f t="shared" si="44"/>
        <v>Business Money Market</v>
      </c>
      <c r="U52" s="10" t="s">
        <v>182</v>
      </c>
      <c r="V52" s="9" t="s">
        <v>32</v>
      </c>
      <c r="W52" s="9"/>
      <c r="X52" s="9" t="str">
        <f t="shared" si="4"/>
        <v>Business Money Market</v>
      </c>
    </row>
    <row r="53" spans="1:24" ht="16.05" customHeight="1" x14ac:dyDescent="0.3">
      <c r="A53" s="8" t="s">
        <v>183</v>
      </c>
      <c r="B53" s="8"/>
      <c r="C53" s="9" t="s">
        <v>184</v>
      </c>
      <c r="D53" s="9" t="str">
        <f t="shared" si="1"/>
        <v>Provident Bank Business Checking</v>
      </c>
      <c r="E53" s="9" t="s">
        <v>172</v>
      </c>
      <c r="F53" s="9" t="s">
        <v>173</v>
      </c>
      <c r="G53" s="9" t="s">
        <v>173</v>
      </c>
      <c r="H53" s="9" t="s">
        <v>174</v>
      </c>
      <c r="I53" s="9" t="s">
        <v>175</v>
      </c>
      <c r="J53" s="9" t="s">
        <v>184</v>
      </c>
      <c r="K53" s="9" t="str">
        <f t="shared" ref="K53:T53" si="45">J53</f>
        <v>Provident Bank Business Checking</v>
      </c>
      <c r="L53" s="9" t="str">
        <f t="shared" si="45"/>
        <v>Provident Bank Business Checking</v>
      </c>
      <c r="M53" s="9" t="str">
        <f t="shared" si="45"/>
        <v>Provident Bank Business Checking</v>
      </c>
      <c r="N53" s="9" t="str">
        <f t="shared" si="45"/>
        <v>Provident Bank Business Checking</v>
      </c>
      <c r="O53" s="9" t="str">
        <f t="shared" si="45"/>
        <v>Provident Bank Business Checking</v>
      </c>
      <c r="P53" s="9" t="str">
        <f t="shared" si="45"/>
        <v>Provident Bank Business Checking</v>
      </c>
      <c r="Q53" s="9" t="str">
        <f t="shared" si="45"/>
        <v>Provident Bank Business Checking</v>
      </c>
      <c r="R53" s="9" t="str">
        <f t="shared" si="45"/>
        <v>Provident Bank Business Checking</v>
      </c>
      <c r="S53" s="9" t="str">
        <f t="shared" si="45"/>
        <v>Provident Bank Business Checking</v>
      </c>
      <c r="T53" s="9" t="str">
        <f t="shared" si="45"/>
        <v>Provident Bank Business Checking</v>
      </c>
      <c r="U53" s="10" t="s">
        <v>185</v>
      </c>
      <c r="V53" s="9" t="s">
        <v>32</v>
      </c>
      <c r="W53" s="9"/>
      <c r="X53" s="9" t="str">
        <f t="shared" si="4"/>
        <v>Provident Bank Business Checking</v>
      </c>
    </row>
    <row r="54" spans="1:24" ht="16.05" customHeight="1" x14ac:dyDescent="0.3">
      <c r="A54" s="8" t="s">
        <v>186</v>
      </c>
      <c r="B54" s="8"/>
      <c r="C54" s="9" t="s">
        <v>187</v>
      </c>
      <c r="D54" s="9" t="str">
        <f t="shared" si="1"/>
        <v>Space Center Savings</v>
      </c>
      <c r="E54" s="9" t="s">
        <v>172</v>
      </c>
      <c r="F54" s="9" t="s">
        <v>173</v>
      </c>
      <c r="G54" s="9" t="s">
        <v>173</v>
      </c>
      <c r="H54" s="9" t="s">
        <v>174</v>
      </c>
      <c r="I54" s="9" t="s">
        <v>175</v>
      </c>
      <c r="J54" s="9" t="s">
        <v>187</v>
      </c>
      <c r="K54" s="9" t="str">
        <f t="shared" ref="K54:T54" si="46">J54</f>
        <v>Space Center Savings</v>
      </c>
      <c r="L54" s="9" t="str">
        <f t="shared" si="46"/>
        <v>Space Center Savings</v>
      </c>
      <c r="M54" s="9" t="str">
        <f t="shared" si="46"/>
        <v>Space Center Savings</v>
      </c>
      <c r="N54" s="9" t="str">
        <f t="shared" si="46"/>
        <v>Space Center Savings</v>
      </c>
      <c r="O54" s="9" t="str">
        <f t="shared" si="46"/>
        <v>Space Center Savings</v>
      </c>
      <c r="P54" s="9" t="str">
        <f t="shared" si="46"/>
        <v>Space Center Savings</v>
      </c>
      <c r="Q54" s="9" t="str">
        <f t="shared" si="46"/>
        <v>Space Center Savings</v>
      </c>
      <c r="R54" s="9" t="str">
        <f t="shared" si="46"/>
        <v>Space Center Savings</v>
      </c>
      <c r="S54" s="9" t="str">
        <f t="shared" si="46"/>
        <v>Space Center Savings</v>
      </c>
      <c r="T54" s="9" t="str">
        <f t="shared" si="46"/>
        <v>Space Center Savings</v>
      </c>
      <c r="U54" s="10" t="s">
        <v>188</v>
      </c>
      <c r="V54" s="9" t="s">
        <v>32</v>
      </c>
      <c r="W54" s="9"/>
      <c r="X54" s="9" t="str">
        <f t="shared" si="4"/>
        <v>Space Center Savings</v>
      </c>
    </row>
    <row r="55" spans="1:24" ht="16.05" customHeight="1" x14ac:dyDescent="0.3">
      <c r="A55" s="8" t="s">
        <v>189</v>
      </c>
      <c r="B55" s="8"/>
      <c r="C55" s="9" t="s">
        <v>190</v>
      </c>
      <c r="D55" s="9" t="str">
        <f t="shared" si="1"/>
        <v>Inventory</v>
      </c>
      <c r="E55" s="9" t="s">
        <v>172</v>
      </c>
      <c r="F55" s="9" t="s">
        <v>173</v>
      </c>
      <c r="G55" s="9" t="s">
        <v>173</v>
      </c>
      <c r="H55" s="9" t="s">
        <v>174</v>
      </c>
      <c r="I55" s="9" t="s">
        <v>191</v>
      </c>
      <c r="J55" s="9" t="s">
        <v>190</v>
      </c>
      <c r="K55" s="9" t="str">
        <f t="shared" ref="K55:T55" si="47">J55</f>
        <v>Inventory</v>
      </c>
      <c r="L55" s="9" t="str">
        <f t="shared" si="47"/>
        <v>Inventory</v>
      </c>
      <c r="M55" s="9" t="str">
        <f t="shared" si="47"/>
        <v>Inventory</v>
      </c>
      <c r="N55" s="9" t="str">
        <f t="shared" si="47"/>
        <v>Inventory</v>
      </c>
      <c r="O55" s="9" t="str">
        <f t="shared" si="47"/>
        <v>Inventory</v>
      </c>
      <c r="P55" s="9" t="str">
        <f t="shared" si="47"/>
        <v>Inventory</v>
      </c>
      <c r="Q55" s="9" t="str">
        <f t="shared" si="47"/>
        <v>Inventory</v>
      </c>
      <c r="R55" s="9" t="str">
        <f t="shared" si="47"/>
        <v>Inventory</v>
      </c>
      <c r="S55" s="9" t="str">
        <f t="shared" si="47"/>
        <v>Inventory</v>
      </c>
      <c r="T55" s="9" t="str">
        <f t="shared" si="47"/>
        <v>Inventory</v>
      </c>
      <c r="U55" s="10" t="s">
        <v>192</v>
      </c>
      <c r="V55" s="9" t="s">
        <v>32</v>
      </c>
      <c r="W55" s="9"/>
      <c r="X55" s="9" t="str">
        <f t="shared" si="4"/>
        <v>Inventory</v>
      </c>
    </row>
    <row r="56" spans="1:24" ht="16.05" customHeight="1" x14ac:dyDescent="0.3">
      <c r="A56" s="8" t="s">
        <v>193</v>
      </c>
      <c r="B56" s="8"/>
      <c r="C56" s="9" t="s">
        <v>194</v>
      </c>
      <c r="D56" s="9" t="str">
        <f t="shared" si="1"/>
        <v>Loans to MTP</v>
      </c>
      <c r="E56" s="9" t="s">
        <v>172</v>
      </c>
      <c r="F56" s="9" t="s">
        <v>173</v>
      </c>
      <c r="G56" s="9" t="s">
        <v>173</v>
      </c>
      <c r="H56" s="9" t="s">
        <v>174</v>
      </c>
      <c r="I56" s="9" t="s">
        <v>191</v>
      </c>
      <c r="J56" s="9" t="s">
        <v>194</v>
      </c>
      <c r="K56" s="9" t="str">
        <f t="shared" ref="K56:T56" si="48">J56</f>
        <v>Loans to MTP</v>
      </c>
      <c r="L56" s="9" t="str">
        <f t="shared" si="48"/>
        <v>Loans to MTP</v>
      </c>
      <c r="M56" s="9" t="str">
        <f t="shared" si="48"/>
        <v>Loans to MTP</v>
      </c>
      <c r="N56" s="9" t="str">
        <f t="shared" si="48"/>
        <v>Loans to MTP</v>
      </c>
      <c r="O56" s="9" t="str">
        <f t="shared" si="48"/>
        <v>Loans to MTP</v>
      </c>
      <c r="P56" s="9" t="str">
        <f t="shared" si="48"/>
        <v>Loans to MTP</v>
      </c>
      <c r="Q56" s="9" t="str">
        <f t="shared" si="48"/>
        <v>Loans to MTP</v>
      </c>
      <c r="R56" s="9" t="str">
        <f t="shared" si="48"/>
        <v>Loans to MTP</v>
      </c>
      <c r="S56" s="9" t="str">
        <f t="shared" si="48"/>
        <v>Loans to MTP</v>
      </c>
      <c r="T56" s="9" t="str">
        <f t="shared" si="48"/>
        <v>Loans to MTP</v>
      </c>
      <c r="U56" s="10" t="s">
        <v>195</v>
      </c>
      <c r="V56" s="9" t="s">
        <v>169</v>
      </c>
      <c r="W56" s="9"/>
      <c r="X56" s="9" t="str">
        <f t="shared" si="4"/>
        <v>Loans to MTP</v>
      </c>
    </row>
    <row r="57" spans="1:24" ht="16.05" customHeight="1" x14ac:dyDescent="0.3">
      <c r="A57" s="8" t="s">
        <v>196</v>
      </c>
      <c r="B57" s="8"/>
      <c r="C57" s="9" t="s">
        <v>197</v>
      </c>
      <c r="D57" s="9" t="str">
        <f t="shared" si="1"/>
        <v>Prepaid Payroll</v>
      </c>
      <c r="E57" s="9" t="s">
        <v>172</v>
      </c>
      <c r="F57" s="9" t="s">
        <v>173</v>
      </c>
      <c r="G57" s="9" t="s">
        <v>173</v>
      </c>
      <c r="H57" s="9" t="s">
        <v>174</v>
      </c>
      <c r="I57" s="9" t="s">
        <v>191</v>
      </c>
      <c r="J57" s="9" t="s">
        <v>197</v>
      </c>
      <c r="K57" s="9" t="str">
        <f t="shared" ref="K57:T57" si="49">J57</f>
        <v>Prepaid Payroll</v>
      </c>
      <c r="L57" s="9" t="str">
        <f t="shared" si="49"/>
        <v>Prepaid Payroll</v>
      </c>
      <c r="M57" s="9" t="str">
        <f t="shared" si="49"/>
        <v>Prepaid Payroll</v>
      </c>
      <c r="N57" s="9" t="str">
        <f t="shared" si="49"/>
        <v>Prepaid Payroll</v>
      </c>
      <c r="O57" s="9" t="str">
        <f t="shared" si="49"/>
        <v>Prepaid Payroll</v>
      </c>
      <c r="P57" s="9" t="str">
        <f t="shared" si="49"/>
        <v>Prepaid Payroll</v>
      </c>
      <c r="Q57" s="9" t="str">
        <f t="shared" si="49"/>
        <v>Prepaid Payroll</v>
      </c>
      <c r="R57" s="9" t="str">
        <f t="shared" si="49"/>
        <v>Prepaid Payroll</v>
      </c>
      <c r="S57" s="9" t="str">
        <f t="shared" si="49"/>
        <v>Prepaid Payroll</v>
      </c>
      <c r="T57" s="9" t="str">
        <f t="shared" si="49"/>
        <v>Prepaid Payroll</v>
      </c>
      <c r="U57" s="10" t="s">
        <v>198</v>
      </c>
      <c r="V57" s="9" t="s">
        <v>32</v>
      </c>
      <c r="W57" s="9"/>
      <c r="X57" s="9" t="str">
        <f t="shared" si="4"/>
        <v>Prepaid Payroll</v>
      </c>
    </row>
    <row r="58" spans="1:24" ht="16.05" customHeight="1" x14ac:dyDescent="0.3">
      <c r="A58" s="8" t="s">
        <v>199</v>
      </c>
      <c r="B58" s="8"/>
      <c r="C58" s="9" t="s">
        <v>200</v>
      </c>
      <c r="D58" s="9" t="str">
        <f t="shared" si="1"/>
        <v>Due from ERTC</v>
      </c>
      <c r="E58" s="9" t="s">
        <v>172</v>
      </c>
      <c r="F58" s="9" t="s">
        <v>173</v>
      </c>
      <c r="G58" s="9" t="s">
        <v>173</v>
      </c>
      <c r="H58" s="9" t="s">
        <v>174</v>
      </c>
      <c r="I58" s="9" t="s">
        <v>191</v>
      </c>
      <c r="J58" s="9" t="s">
        <v>200</v>
      </c>
      <c r="K58" s="9" t="str">
        <f t="shared" ref="K58:T58" si="50">J58</f>
        <v>Due from ERTC</v>
      </c>
      <c r="L58" s="9" t="str">
        <f t="shared" si="50"/>
        <v>Due from ERTC</v>
      </c>
      <c r="M58" s="9" t="str">
        <f t="shared" si="50"/>
        <v>Due from ERTC</v>
      </c>
      <c r="N58" s="9" t="str">
        <f t="shared" si="50"/>
        <v>Due from ERTC</v>
      </c>
      <c r="O58" s="9" t="str">
        <f t="shared" si="50"/>
        <v>Due from ERTC</v>
      </c>
      <c r="P58" s="9" t="str">
        <f t="shared" si="50"/>
        <v>Due from ERTC</v>
      </c>
      <c r="Q58" s="9" t="str">
        <f t="shared" si="50"/>
        <v>Due from ERTC</v>
      </c>
      <c r="R58" s="9" t="str">
        <f t="shared" si="50"/>
        <v>Due from ERTC</v>
      </c>
      <c r="S58" s="9" t="str">
        <f t="shared" si="50"/>
        <v>Due from ERTC</v>
      </c>
      <c r="T58" s="9" t="str">
        <f t="shared" si="50"/>
        <v>Due from ERTC</v>
      </c>
      <c r="U58" s="10" t="s">
        <v>201</v>
      </c>
      <c r="V58" s="9" t="s">
        <v>32</v>
      </c>
      <c r="W58" s="9"/>
      <c r="X58" s="9" t="str">
        <f t="shared" si="4"/>
        <v>Due from ERTC</v>
      </c>
    </row>
    <row r="59" spans="1:24" ht="16.05" customHeight="1" x14ac:dyDescent="0.3">
      <c r="A59" s="8" t="s">
        <v>202</v>
      </c>
      <c r="B59" s="8"/>
      <c r="C59" s="9" t="s">
        <v>203</v>
      </c>
      <c r="D59" s="9" t="str">
        <f t="shared" si="1"/>
        <v>Machinery &amp; Equipment</v>
      </c>
      <c r="E59" s="9" t="s">
        <v>172</v>
      </c>
      <c r="F59" s="9" t="s">
        <v>173</v>
      </c>
      <c r="G59" s="9" t="s">
        <v>173</v>
      </c>
      <c r="H59" s="9" t="s">
        <v>204</v>
      </c>
      <c r="I59" s="9" t="s">
        <v>205</v>
      </c>
      <c r="J59" s="9" t="s">
        <v>206</v>
      </c>
      <c r="K59" s="9" t="str">
        <f t="shared" ref="K59:T59" si="51">J59</f>
        <v>Machinery and Equipment (Gross)</v>
      </c>
      <c r="L59" s="9" t="str">
        <f t="shared" si="51"/>
        <v>Machinery and Equipment (Gross)</v>
      </c>
      <c r="M59" s="9" t="str">
        <f t="shared" si="51"/>
        <v>Machinery and Equipment (Gross)</v>
      </c>
      <c r="N59" s="9" t="str">
        <f t="shared" si="51"/>
        <v>Machinery and Equipment (Gross)</v>
      </c>
      <c r="O59" s="9" t="str">
        <f t="shared" si="51"/>
        <v>Machinery and Equipment (Gross)</v>
      </c>
      <c r="P59" s="9" t="str">
        <f t="shared" si="51"/>
        <v>Machinery and Equipment (Gross)</v>
      </c>
      <c r="Q59" s="9" t="str">
        <f t="shared" si="51"/>
        <v>Machinery and Equipment (Gross)</v>
      </c>
      <c r="R59" s="9" t="str">
        <f t="shared" si="51"/>
        <v>Machinery and Equipment (Gross)</v>
      </c>
      <c r="S59" s="9" t="str">
        <f t="shared" si="51"/>
        <v>Machinery and Equipment (Gross)</v>
      </c>
      <c r="T59" s="9" t="str">
        <f t="shared" si="51"/>
        <v>Machinery and Equipment (Gross)</v>
      </c>
      <c r="U59" s="10" t="s">
        <v>207</v>
      </c>
      <c r="V59" s="9" t="s">
        <v>32</v>
      </c>
      <c r="W59" s="9"/>
      <c r="X59" s="9" t="str">
        <f t="shared" si="4"/>
        <v>Machinery &amp; Equipment</v>
      </c>
    </row>
    <row r="60" spans="1:24" ht="16.05" customHeight="1" x14ac:dyDescent="0.3">
      <c r="A60" s="8" t="s">
        <v>208</v>
      </c>
      <c r="B60" s="8"/>
      <c r="C60" s="9" t="s">
        <v>209</v>
      </c>
      <c r="D60" s="9" t="str">
        <f t="shared" si="1"/>
        <v>Accumulated Depreciation - M&amp;E</v>
      </c>
      <c r="E60" s="9" t="s">
        <v>172</v>
      </c>
      <c r="F60" s="9" t="s">
        <v>173</v>
      </c>
      <c r="G60" s="9" t="s">
        <v>173</v>
      </c>
      <c r="H60" s="9" t="s">
        <v>204</v>
      </c>
      <c r="I60" s="9" t="s">
        <v>205</v>
      </c>
      <c r="J60" s="9" t="s">
        <v>209</v>
      </c>
      <c r="K60" s="9" t="str">
        <f t="shared" ref="K60:T60" si="52">J60</f>
        <v>Accumulated Depreciation - M&amp;E</v>
      </c>
      <c r="L60" s="9" t="str">
        <f t="shared" si="52"/>
        <v>Accumulated Depreciation - M&amp;E</v>
      </c>
      <c r="M60" s="9" t="str">
        <f t="shared" si="52"/>
        <v>Accumulated Depreciation - M&amp;E</v>
      </c>
      <c r="N60" s="9" t="str">
        <f t="shared" si="52"/>
        <v>Accumulated Depreciation - M&amp;E</v>
      </c>
      <c r="O60" s="9" t="str">
        <f t="shared" si="52"/>
        <v>Accumulated Depreciation - M&amp;E</v>
      </c>
      <c r="P60" s="9" t="str">
        <f t="shared" si="52"/>
        <v>Accumulated Depreciation - M&amp;E</v>
      </c>
      <c r="Q60" s="9" t="str">
        <f t="shared" si="52"/>
        <v>Accumulated Depreciation - M&amp;E</v>
      </c>
      <c r="R60" s="9" t="str">
        <f t="shared" si="52"/>
        <v>Accumulated Depreciation - M&amp;E</v>
      </c>
      <c r="S60" s="9" t="str">
        <f t="shared" si="52"/>
        <v>Accumulated Depreciation - M&amp;E</v>
      </c>
      <c r="T60" s="9" t="str">
        <f t="shared" si="52"/>
        <v>Accumulated Depreciation - M&amp;E</v>
      </c>
      <c r="U60" s="10" t="s">
        <v>210</v>
      </c>
      <c r="V60" s="9" t="s">
        <v>32</v>
      </c>
      <c r="W60" s="9"/>
      <c r="X60" s="9" t="str">
        <f t="shared" si="4"/>
        <v>Accumulated Depreciation - M&amp;E</v>
      </c>
    </row>
    <row r="61" spans="1:24" ht="16.05" customHeight="1" x14ac:dyDescent="0.3">
      <c r="A61" s="8" t="s">
        <v>211</v>
      </c>
      <c r="B61" s="8"/>
      <c r="C61" s="9" t="s">
        <v>212</v>
      </c>
      <c r="D61" s="9" t="str">
        <f t="shared" si="1"/>
        <v>Furniture &amp; Fixtures</v>
      </c>
      <c r="E61" s="9" t="s">
        <v>172</v>
      </c>
      <c r="F61" s="9" t="s">
        <v>173</v>
      </c>
      <c r="G61" s="9" t="s">
        <v>173</v>
      </c>
      <c r="H61" s="9" t="s">
        <v>204</v>
      </c>
      <c r="I61" s="9" t="s">
        <v>213</v>
      </c>
      <c r="J61" s="9" t="s">
        <v>214</v>
      </c>
      <c r="K61" s="9" t="str">
        <f t="shared" ref="K61:T61" si="53">J61</f>
        <v>Furniture and Fixtures (Gross)</v>
      </c>
      <c r="L61" s="9" t="str">
        <f t="shared" si="53"/>
        <v>Furniture and Fixtures (Gross)</v>
      </c>
      <c r="M61" s="9" t="str">
        <f t="shared" si="53"/>
        <v>Furniture and Fixtures (Gross)</v>
      </c>
      <c r="N61" s="9" t="str">
        <f t="shared" si="53"/>
        <v>Furniture and Fixtures (Gross)</v>
      </c>
      <c r="O61" s="9" t="str">
        <f t="shared" si="53"/>
        <v>Furniture and Fixtures (Gross)</v>
      </c>
      <c r="P61" s="9" t="str">
        <f t="shared" si="53"/>
        <v>Furniture and Fixtures (Gross)</v>
      </c>
      <c r="Q61" s="9" t="str">
        <f t="shared" si="53"/>
        <v>Furniture and Fixtures (Gross)</v>
      </c>
      <c r="R61" s="9" t="str">
        <f t="shared" si="53"/>
        <v>Furniture and Fixtures (Gross)</v>
      </c>
      <c r="S61" s="9" t="str">
        <f t="shared" si="53"/>
        <v>Furniture and Fixtures (Gross)</v>
      </c>
      <c r="T61" s="9" t="str">
        <f t="shared" si="53"/>
        <v>Furniture and Fixtures (Gross)</v>
      </c>
      <c r="U61" s="10" t="s">
        <v>215</v>
      </c>
      <c r="V61" s="9" t="s">
        <v>32</v>
      </c>
      <c r="W61" s="9"/>
      <c r="X61" s="9" t="str">
        <f t="shared" si="4"/>
        <v>Furniture &amp; Fixtures</v>
      </c>
    </row>
    <row r="62" spans="1:24" ht="16.05" customHeight="1" x14ac:dyDescent="0.3">
      <c r="A62" s="8" t="s">
        <v>216</v>
      </c>
      <c r="B62" s="8"/>
      <c r="C62" s="9" t="s">
        <v>217</v>
      </c>
      <c r="D62" s="9" t="str">
        <f t="shared" si="1"/>
        <v>Accumulated Depreciation - F&amp;F</v>
      </c>
      <c r="E62" s="9" t="s">
        <v>172</v>
      </c>
      <c r="F62" s="9" t="s">
        <v>173</v>
      </c>
      <c r="G62" s="9" t="s">
        <v>173</v>
      </c>
      <c r="H62" s="9" t="s">
        <v>204</v>
      </c>
      <c r="I62" s="9" t="s">
        <v>213</v>
      </c>
      <c r="J62" s="9" t="s">
        <v>217</v>
      </c>
      <c r="K62" s="9" t="str">
        <f t="shared" ref="K62:T62" si="54">J62</f>
        <v>Accumulated Depreciation - F&amp;F</v>
      </c>
      <c r="L62" s="9" t="str">
        <f t="shared" si="54"/>
        <v>Accumulated Depreciation - F&amp;F</v>
      </c>
      <c r="M62" s="9" t="str">
        <f t="shared" si="54"/>
        <v>Accumulated Depreciation - F&amp;F</v>
      </c>
      <c r="N62" s="9" t="str">
        <f t="shared" si="54"/>
        <v>Accumulated Depreciation - F&amp;F</v>
      </c>
      <c r="O62" s="9" t="str">
        <f t="shared" si="54"/>
        <v>Accumulated Depreciation - F&amp;F</v>
      </c>
      <c r="P62" s="9" t="str">
        <f t="shared" si="54"/>
        <v>Accumulated Depreciation - F&amp;F</v>
      </c>
      <c r="Q62" s="9" t="str">
        <f t="shared" si="54"/>
        <v>Accumulated Depreciation - F&amp;F</v>
      </c>
      <c r="R62" s="9" t="str">
        <f t="shared" si="54"/>
        <v>Accumulated Depreciation - F&amp;F</v>
      </c>
      <c r="S62" s="9" t="str">
        <f t="shared" si="54"/>
        <v>Accumulated Depreciation - F&amp;F</v>
      </c>
      <c r="T62" s="9" t="str">
        <f t="shared" si="54"/>
        <v>Accumulated Depreciation - F&amp;F</v>
      </c>
      <c r="U62" s="10" t="s">
        <v>218</v>
      </c>
      <c r="V62" s="9" t="s">
        <v>32</v>
      </c>
      <c r="W62" s="9"/>
      <c r="X62" s="9" t="str">
        <f t="shared" si="4"/>
        <v>Accumulated Depreciation - F&amp;F</v>
      </c>
    </row>
    <row r="63" spans="1:24" ht="16.05" customHeight="1" x14ac:dyDescent="0.3">
      <c r="A63" s="8" t="s">
        <v>219</v>
      </c>
      <c r="B63" s="8"/>
      <c r="C63" s="9" t="s">
        <v>220</v>
      </c>
      <c r="D63" s="9" t="str">
        <f t="shared" si="1"/>
        <v>Leasehold Improvements</v>
      </c>
      <c r="E63" s="9" t="s">
        <v>172</v>
      </c>
      <c r="F63" s="9" t="s">
        <v>173</v>
      </c>
      <c r="G63" s="9" t="s">
        <v>173</v>
      </c>
      <c r="H63" s="9" t="s">
        <v>204</v>
      </c>
      <c r="I63" s="9" t="s">
        <v>220</v>
      </c>
      <c r="J63" s="9" t="s">
        <v>221</v>
      </c>
      <c r="K63" s="9" t="str">
        <f t="shared" ref="K63:T63" si="55">J63</f>
        <v>Leasehold Improvements (Gross)</v>
      </c>
      <c r="L63" s="9" t="str">
        <f t="shared" si="55"/>
        <v>Leasehold Improvements (Gross)</v>
      </c>
      <c r="M63" s="9" t="str">
        <f t="shared" si="55"/>
        <v>Leasehold Improvements (Gross)</v>
      </c>
      <c r="N63" s="9" t="str">
        <f t="shared" si="55"/>
        <v>Leasehold Improvements (Gross)</v>
      </c>
      <c r="O63" s="9" t="str">
        <f t="shared" si="55"/>
        <v>Leasehold Improvements (Gross)</v>
      </c>
      <c r="P63" s="9" t="str">
        <f t="shared" si="55"/>
        <v>Leasehold Improvements (Gross)</v>
      </c>
      <c r="Q63" s="9" t="str">
        <f t="shared" si="55"/>
        <v>Leasehold Improvements (Gross)</v>
      </c>
      <c r="R63" s="9" t="str">
        <f t="shared" si="55"/>
        <v>Leasehold Improvements (Gross)</v>
      </c>
      <c r="S63" s="9" t="str">
        <f t="shared" si="55"/>
        <v>Leasehold Improvements (Gross)</v>
      </c>
      <c r="T63" s="9" t="str">
        <f t="shared" si="55"/>
        <v>Leasehold Improvements (Gross)</v>
      </c>
      <c r="U63" s="10" t="s">
        <v>222</v>
      </c>
      <c r="V63" s="9" t="s">
        <v>32</v>
      </c>
      <c r="W63" s="9"/>
      <c r="X63" s="9" t="str">
        <f t="shared" si="4"/>
        <v>Leasehold Improvements</v>
      </c>
    </row>
    <row r="64" spans="1:24" ht="16.05" customHeight="1" x14ac:dyDescent="0.3">
      <c r="A64" s="8" t="s">
        <v>223</v>
      </c>
      <c r="B64" s="8"/>
      <c r="C64" s="9" t="s">
        <v>224</v>
      </c>
      <c r="D64" s="9" t="str">
        <f t="shared" si="1"/>
        <v>Accumulated Depreciation - Improvements</v>
      </c>
      <c r="E64" s="9" t="s">
        <v>172</v>
      </c>
      <c r="F64" s="9" t="s">
        <v>173</v>
      </c>
      <c r="G64" s="9" t="s">
        <v>173</v>
      </c>
      <c r="H64" s="9" t="s">
        <v>204</v>
      </c>
      <c r="I64" s="9" t="s">
        <v>220</v>
      </c>
      <c r="J64" s="9" t="s">
        <v>224</v>
      </c>
      <c r="K64" s="9" t="str">
        <f t="shared" ref="K64:T64" si="56">J64</f>
        <v>Accumulated Depreciation - Improvements</v>
      </c>
      <c r="L64" s="9" t="str">
        <f t="shared" si="56"/>
        <v>Accumulated Depreciation - Improvements</v>
      </c>
      <c r="M64" s="9" t="str">
        <f t="shared" si="56"/>
        <v>Accumulated Depreciation - Improvements</v>
      </c>
      <c r="N64" s="9" t="str">
        <f t="shared" si="56"/>
        <v>Accumulated Depreciation - Improvements</v>
      </c>
      <c r="O64" s="9" t="str">
        <f t="shared" si="56"/>
        <v>Accumulated Depreciation - Improvements</v>
      </c>
      <c r="P64" s="9" t="str">
        <f t="shared" si="56"/>
        <v>Accumulated Depreciation - Improvements</v>
      </c>
      <c r="Q64" s="9" t="str">
        <f t="shared" si="56"/>
        <v>Accumulated Depreciation - Improvements</v>
      </c>
      <c r="R64" s="9" t="str">
        <f t="shared" si="56"/>
        <v>Accumulated Depreciation - Improvements</v>
      </c>
      <c r="S64" s="9" t="str">
        <f t="shared" si="56"/>
        <v>Accumulated Depreciation - Improvements</v>
      </c>
      <c r="T64" s="9" t="str">
        <f t="shared" si="56"/>
        <v>Accumulated Depreciation - Improvements</v>
      </c>
      <c r="U64" s="10" t="s">
        <v>225</v>
      </c>
      <c r="V64" s="9" t="s">
        <v>32</v>
      </c>
      <c r="W64" s="9"/>
      <c r="X64" s="9" t="str">
        <f t="shared" si="4"/>
        <v>Accumulated Depreciation - Improvements</v>
      </c>
    </row>
    <row r="65" spans="1:24" ht="16.05" customHeight="1" x14ac:dyDescent="0.3">
      <c r="A65" s="8" t="s">
        <v>226</v>
      </c>
      <c r="B65" s="8"/>
      <c r="C65" s="9" t="s">
        <v>227</v>
      </c>
      <c r="D65" s="9" t="str">
        <f t="shared" si="1"/>
        <v>Vehicle</v>
      </c>
      <c r="E65" s="9" t="s">
        <v>172</v>
      </c>
      <c r="F65" s="9" t="s">
        <v>173</v>
      </c>
      <c r="G65" s="9" t="s">
        <v>173</v>
      </c>
      <c r="H65" s="9" t="s">
        <v>204</v>
      </c>
      <c r="I65" s="9" t="s">
        <v>228</v>
      </c>
      <c r="J65" s="9" t="s">
        <v>229</v>
      </c>
      <c r="K65" s="9" t="str">
        <f t="shared" ref="K65:T65" si="57">J65</f>
        <v>Vehicle (Gross)</v>
      </c>
      <c r="L65" s="9" t="str">
        <f t="shared" si="57"/>
        <v>Vehicle (Gross)</v>
      </c>
      <c r="M65" s="9" t="str">
        <f t="shared" si="57"/>
        <v>Vehicle (Gross)</v>
      </c>
      <c r="N65" s="9" t="str">
        <f t="shared" si="57"/>
        <v>Vehicle (Gross)</v>
      </c>
      <c r="O65" s="9" t="str">
        <f t="shared" si="57"/>
        <v>Vehicle (Gross)</v>
      </c>
      <c r="P65" s="9" t="str">
        <f t="shared" si="57"/>
        <v>Vehicle (Gross)</v>
      </c>
      <c r="Q65" s="9" t="str">
        <f t="shared" si="57"/>
        <v>Vehicle (Gross)</v>
      </c>
      <c r="R65" s="9" t="str">
        <f t="shared" si="57"/>
        <v>Vehicle (Gross)</v>
      </c>
      <c r="S65" s="9" t="str">
        <f t="shared" si="57"/>
        <v>Vehicle (Gross)</v>
      </c>
      <c r="T65" s="9" t="str">
        <f t="shared" si="57"/>
        <v>Vehicle (Gross)</v>
      </c>
      <c r="U65" s="10" t="s">
        <v>230</v>
      </c>
      <c r="V65" s="9" t="s">
        <v>32</v>
      </c>
      <c r="W65" s="9"/>
      <c r="X65" s="9" t="str">
        <f t="shared" si="4"/>
        <v>Vehicle</v>
      </c>
    </row>
    <row r="66" spans="1:24" ht="16.05" customHeight="1" x14ac:dyDescent="0.3">
      <c r="A66" s="8" t="s">
        <v>231</v>
      </c>
      <c r="B66" s="8"/>
      <c r="C66" s="9" t="s">
        <v>232</v>
      </c>
      <c r="D66" s="9" t="str">
        <f t="shared" si="1"/>
        <v>Accumulated Depreciation - Vehicle</v>
      </c>
      <c r="E66" s="9" t="s">
        <v>172</v>
      </c>
      <c r="F66" s="9" t="s">
        <v>173</v>
      </c>
      <c r="G66" s="9" t="s">
        <v>173</v>
      </c>
      <c r="H66" s="9" t="s">
        <v>204</v>
      </c>
      <c r="I66" s="9" t="s">
        <v>228</v>
      </c>
      <c r="J66" s="9" t="s">
        <v>232</v>
      </c>
      <c r="K66" s="9" t="str">
        <f t="shared" ref="K66:T66" si="58">J66</f>
        <v>Accumulated Depreciation - Vehicle</v>
      </c>
      <c r="L66" s="9" t="str">
        <f t="shared" si="58"/>
        <v>Accumulated Depreciation - Vehicle</v>
      </c>
      <c r="M66" s="9" t="str">
        <f t="shared" si="58"/>
        <v>Accumulated Depreciation - Vehicle</v>
      </c>
      <c r="N66" s="9" t="str">
        <f t="shared" si="58"/>
        <v>Accumulated Depreciation - Vehicle</v>
      </c>
      <c r="O66" s="9" t="str">
        <f t="shared" si="58"/>
        <v>Accumulated Depreciation - Vehicle</v>
      </c>
      <c r="P66" s="9" t="str">
        <f t="shared" si="58"/>
        <v>Accumulated Depreciation - Vehicle</v>
      </c>
      <c r="Q66" s="9" t="str">
        <f t="shared" si="58"/>
        <v>Accumulated Depreciation - Vehicle</v>
      </c>
      <c r="R66" s="9" t="str">
        <f t="shared" si="58"/>
        <v>Accumulated Depreciation - Vehicle</v>
      </c>
      <c r="S66" s="9" t="str">
        <f t="shared" si="58"/>
        <v>Accumulated Depreciation - Vehicle</v>
      </c>
      <c r="T66" s="9" t="str">
        <f t="shared" si="58"/>
        <v>Accumulated Depreciation - Vehicle</v>
      </c>
      <c r="U66" s="10" t="s">
        <v>233</v>
      </c>
      <c r="V66" s="9" t="s">
        <v>32</v>
      </c>
      <c r="W66" s="9"/>
      <c r="X66" s="9" t="str">
        <f t="shared" si="4"/>
        <v>Accumulated Depreciation - Vehicle</v>
      </c>
    </row>
    <row r="67" spans="1:24" ht="16.05" customHeight="1" x14ac:dyDescent="0.3">
      <c r="A67" s="8" t="s">
        <v>234</v>
      </c>
      <c r="B67" s="8"/>
      <c r="C67" s="9" t="s">
        <v>235</v>
      </c>
      <c r="D67" s="9" t="str">
        <f t="shared" si="1"/>
        <v>Land Improvements</v>
      </c>
      <c r="E67" s="9" t="s">
        <v>172</v>
      </c>
      <c r="F67" s="9" t="s">
        <v>173</v>
      </c>
      <c r="G67" s="9" t="s">
        <v>173</v>
      </c>
      <c r="H67" s="9" t="s">
        <v>204</v>
      </c>
      <c r="I67" s="9" t="s">
        <v>235</v>
      </c>
      <c r="J67" s="9" t="s">
        <v>235</v>
      </c>
      <c r="K67" s="9" t="str">
        <f t="shared" ref="K67:T67" si="59">J67</f>
        <v>Land Improvements</v>
      </c>
      <c r="L67" s="9" t="str">
        <f t="shared" si="59"/>
        <v>Land Improvements</v>
      </c>
      <c r="M67" s="9" t="str">
        <f t="shared" si="59"/>
        <v>Land Improvements</v>
      </c>
      <c r="N67" s="9" t="str">
        <f t="shared" si="59"/>
        <v>Land Improvements</v>
      </c>
      <c r="O67" s="9" t="str">
        <f t="shared" si="59"/>
        <v>Land Improvements</v>
      </c>
      <c r="P67" s="9" t="str">
        <f t="shared" si="59"/>
        <v>Land Improvements</v>
      </c>
      <c r="Q67" s="9" t="str">
        <f t="shared" si="59"/>
        <v>Land Improvements</v>
      </c>
      <c r="R67" s="9" t="str">
        <f t="shared" si="59"/>
        <v>Land Improvements</v>
      </c>
      <c r="S67" s="9" t="str">
        <f t="shared" si="59"/>
        <v>Land Improvements</v>
      </c>
      <c r="T67" s="9" t="str">
        <f t="shared" si="59"/>
        <v>Land Improvements</v>
      </c>
      <c r="U67" s="10" t="s">
        <v>236</v>
      </c>
      <c r="V67" s="9" t="s">
        <v>32</v>
      </c>
      <c r="W67" s="9"/>
      <c r="X67" s="9" t="str">
        <f t="shared" si="4"/>
        <v>Land Improvements</v>
      </c>
    </row>
    <row r="68" spans="1:24" ht="16.05" customHeight="1" x14ac:dyDescent="0.3">
      <c r="A68" s="8" t="s">
        <v>237</v>
      </c>
      <c r="B68" s="8"/>
      <c r="C68" s="9" t="s">
        <v>238</v>
      </c>
      <c r="D68" s="9" t="str">
        <f t="shared" si="1"/>
        <v>Amortization of Financing Costs</v>
      </c>
      <c r="E68" s="9" t="s">
        <v>172</v>
      </c>
      <c r="F68" s="9" t="s">
        <v>173</v>
      </c>
      <c r="G68" s="9" t="s">
        <v>173</v>
      </c>
      <c r="H68" s="9" t="s">
        <v>204</v>
      </c>
      <c r="I68" s="9" t="s">
        <v>239</v>
      </c>
      <c r="J68" s="9" t="s">
        <v>238</v>
      </c>
      <c r="K68" s="9" t="str">
        <f t="shared" ref="K68:T68" si="60">J68</f>
        <v>Amortization of Financing Costs</v>
      </c>
      <c r="L68" s="9" t="str">
        <f t="shared" si="60"/>
        <v>Amortization of Financing Costs</v>
      </c>
      <c r="M68" s="9" t="str">
        <f t="shared" si="60"/>
        <v>Amortization of Financing Costs</v>
      </c>
      <c r="N68" s="9" t="str">
        <f t="shared" si="60"/>
        <v>Amortization of Financing Costs</v>
      </c>
      <c r="O68" s="9" t="str">
        <f t="shared" si="60"/>
        <v>Amortization of Financing Costs</v>
      </c>
      <c r="P68" s="9" t="str">
        <f t="shared" si="60"/>
        <v>Amortization of Financing Costs</v>
      </c>
      <c r="Q68" s="9" t="str">
        <f t="shared" si="60"/>
        <v>Amortization of Financing Costs</v>
      </c>
      <c r="R68" s="9" t="str">
        <f t="shared" si="60"/>
        <v>Amortization of Financing Costs</v>
      </c>
      <c r="S68" s="9" t="str">
        <f t="shared" si="60"/>
        <v>Amortization of Financing Costs</v>
      </c>
      <c r="T68" s="9" t="str">
        <f t="shared" si="60"/>
        <v>Amortization of Financing Costs</v>
      </c>
      <c r="U68" s="10" t="s">
        <v>240</v>
      </c>
      <c r="V68" s="9" t="s">
        <v>32</v>
      </c>
      <c r="W68" s="9"/>
      <c r="X68" s="9" t="str">
        <f t="shared" si="4"/>
        <v>Amortization of Financing Costs</v>
      </c>
    </row>
    <row r="69" spans="1:24" ht="16.05" customHeight="1" x14ac:dyDescent="0.3">
      <c r="A69" s="8" t="s">
        <v>241</v>
      </c>
      <c r="B69" s="8"/>
      <c r="C69" s="9" t="s">
        <v>242</v>
      </c>
      <c r="D69" s="9" t="str">
        <f t="shared" si="1"/>
        <v>Other Long-term Assets</v>
      </c>
      <c r="E69" s="9" t="s">
        <v>172</v>
      </c>
      <c r="F69" s="9" t="s">
        <v>173</v>
      </c>
      <c r="G69" s="9" t="s">
        <v>173</v>
      </c>
      <c r="H69" s="9" t="s">
        <v>243</v>
      </c>
      <c r="I69" s="9" t="s">
        <v>244</v>
      </c>
      <c r="J69" s="9" t="s">
        <v>242</v>
      </c>
      <c r="K69" s="9" t="str">
        <f t="shared" ref="K69:T69" si="61">J69</f>
        <v>Other Long-term Assets</v>
      </c>
      <c r="L69" s="9" t="str">
        <f t="shared" si="61"/>
        <v>Other Long-term Assets</v>
      </c>
      <c r="M69" s="9" t="str">
        <f t="shared" si="61"/>
        <v>Other Long-term Assets</v>
      </c>
      <c r="N69" s="9" t="str">
        <f t="shared" si="61"/>
        <v>Other Long-term Assets</v>
      </c>
      <c r="O69" s="9" t="str">
        <f t="shared" si="61"/>
        <v>Other Long-term Assets</v>
      </c>
      <c r="P69" s="9" t="str">
        <f t="shared" si="61"/>
        <v>Other Long-term Assets</v>
      </c>
      <c r="Q69" s="9" t="str">
        <f t="shared" si="61"/>
        <v>Other Long-term Assets</v>
      </c>
      <c r="R69" s="9" t="str">
        <f t="shared" si="61"/>
        <v>Other Long-term Assets</v>
      </c>
      <c r="S69" s="9" t="str">
        <f t="shared" si="61"/>
        <v>Other Long-term Assets</v>
      </c>
      <c r="T69" s="9" t="str">
        <f t="shared" si="61"/>
        <v>Other Long-term Assets</v>
      </c>
      <c r="U69" s="10" t="s">
        <v>245</v>
      </c>
      <c r="V69" s="9" t="s">
        <v>32</v>
      </c>
      <c r="W69" s="9"/>
      <c r="X69" s="9" t="str">
        <f t="shared" si="4"/>
        <v>Other Long-term Assets</v>
      </c>
    </row>
    <row r="70" spans="1:24" ht="16.05" customHeight="1" x14ac:dyDescent="0.3">
      <c r="A70" s="8" t="s">
        <v>246</v>
      </c>
      <c r="B70" s="8"/>
      <c r="C70" s="9" t="s">
        <v>247</v>
      </c>
      <c r="D70" s="9" t="str">
        <f t="shared" si="1"/>
        <v>Construction in Progress</v>
      </c>
      <c r="E70" s="9" t="s">
        <v>172</v>
      </c>
      <c r="F70" s="9" t="s">
        <v>173</v>
      </c>
      <c r="G70" s="9" t="s">
        <v>173</v>
      </c>
      <c r="H70" s="9" t="s">
        <v>243</v>
      </c>
      <c r="I70" s="9" t="s">
        <v>244</v>
      </c>
      <c r="J70" s="9" t="s">
        <v>247</v>
      </c>
      <c r="K70" s="9" t="str">
        <f t="shared" ref="K70:T70" si="62">J70</f>
        <v>Construction in Progress</v>
      </c>
      <c r="L70" s="9" t="str">
        <f t="shared" si="62"/>
        <v>Construction in Progress</v>
      </c>
      <c r="M70" s="9" t="str">
        <f t="shared" si="62"/>
        <v>Construction in Progress</v>
      </c>
      <c r="N70" s="9" t="str">
        <f t="shared" si="62"/>
        <v>Construction in Progress</v>
      </c>
      <c r="O70" s="9" t="str">
        <f t="shared" si="62"/>
        <v>Construction in Progress</v>
      </c>
      <c r="P70" s="9" t="str">
        <f t="shared" si="62"/>
        <v>Construction in Progress</v>
      </c>
      <c r="Q70" s="9" t="str">
        <f t="shared" si="62"/>
        <v>Construction in Progress</v>
      </c>
      <c r="R70" s="9" t="str">
        <f t="shared" si="62"/>
        <v>Construction in Progress</v>
      </c>
      <c r="S70" s="9" t="str">
        <f t="shared" si="62"/>
        <v>Construction in Progress</v>
      </c>
      <c r="T70" s="9" t="str">
        <f t="shared" si="62"/>
        <v>Construction in Progress</v>
      </c>
      <c r="U70" s="10" t="s">
        <v>248</v>
      </c>
      <c r="V70" s="9" t="s">
        <v>32</v>
      </c>
      <c r="W70" s="9"/>
      <c r="X70" s="9" t="str">
        <f t="shared" si="4"/>
        <v>Construction in Progress</v>
      </c>
    </row>
    <row r="71" spans="1:24" ht="16.05" customHeight="1"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row>
    <row r="72" spans="1:24" ht="16.05" customHeight="1" x14ac:dyDescent="0.3">
      <c r="A72" s="11" t="s">
        <v>249</v>
      </c>
      <c r="B72" s="11"/>
      <c r="C72" s="12" t="s">
        <v>250</v>
      </c>
      <c r="D72" s="12" t="str">
        <f t="shared" si="1"/>
        <v>Capital One - Credit Card</v>
      </c>
      <c r="E72" s="12" t="s">
        <v>172</v>
      </c>
      <c r="F72" s="12" t="s">
        <v>23</v>
      </c>
      <c r="G72" s="12" t="s">
        <v>251</v>
      </c>
      <c r="H72" s="12" t="s">
        <v>252</v>
      </c>
      <c r="I72" s="12" t="s">
        <v>253</v>
      </c>
      <c r="J72" s="12" t="s">
        <v>250</v>
      </c>
      <c r="K72" s="12" t="str">
        <f t="shared" ref="K72:T72" si="63">J72</f>
        <v>Capital One - Credit Card</v>
      </c>
      <c r="L72" s="12" t="str">
        <f t="shared" si="63"/>
        <v>Capital One - Credit Card</v>
      </c>
      <c r="M72" s="12" t="str">
        <f t="shared" si="63"/>
        <v>Capital One - Credit Card</v>
      </c>
      <c r="N72" s="12" t="str">
        <f t="shared" si="63"/>
        <v>Capital One - Credit Card</v>
      </c>
      <c r="O72" s="12" t="str">
        <f t="shared" si="63"/>
        <v>Capital One - Credit Card</v>
      </c>
      <c r="P72" s="12" t="str">
        <f t="shared" si="63"/>
        <v>Capital One - Credit Card</v>
      </c>
      <c r="Q72" s="12" t="str">
        <f t="shared" si="63"/>
        <v>Capital One - Credit Card</v>
      </c>
      <c r="R72" s="12" t="str">
        <f t="shared" si="63"/>
        <v>Capital One - Credit Card</v>
      </c>
      <c r="S72" s="12" t="str">
        <f t="shared" si="63"/>
        <v>Capital One - Credit Card</v>
      </c>
      <c r="T72" s="12" t="str">
        <f t="shared" si="63"/>
        <v>Capital One - Credit Card</v>
      </c>
      <c r="U72" s="13" t="s">
        <v>254</v>
      </c>
      <c r="V72" s="12" t="s">
        <v>32</v>
      </c>
      <c r="W72" s="12"/>
      <c r="X72" s="12" t="str">
        <f t="shared" si="4"/>
        <v>Capital One - Credit Card</v>
      </c>
    </row>
    <row r="73" spans="1:24" ht="16.05" customHeight="1" x14ac:dyDescent="0.3">
      <c r="A73" s="11" t="s">
        <v>255</v>
      </c>
      <c r="B73" s="11"/>
      <c r="C73" s="12" t="s">
        <v>256</v>
      </c>
      <c r="D73" s="12" t="str">
        <f t="shared" ref="D73:D95" si="64">IF(ISBLANK(B73),C73,B73&amp;" - "&amp;C73)</f>
        <v>Capital One Credit Card 2</v>
      </c>
      <c r="E73" s="12" t="s">
        <v>172</v>
      </c>
      <c r="F73" s="12" t="s">
        <v>23</v>
      </c>
      <c r="G73" s="12" t="s">
        <v>251</v>
      </c>
      <c r="H73" s="12" t="s">
        <v>252</v>
      </c>
      <c r="I73" s="12" t="s">
        <v>253</v>
      </c>
      <c r="J73" s="12" t="s">
        <v>256</v>
      </c>
      <c r="K73" s="12" t="str">
        <f t="shared" ref="K73:T73" si="65">J73</f>
        <v>Capital One Credit Card 2</v>
      </c>
      <c r="L73" s="12" t="str">
        <f t="shared" si="65"/>
        <v>Capital One Credit Card 2</v>
      </c>
      <c r="M73" s="12" t="str">
        <f t="shared" si="65"/>
        <v>Capital One Credit Card 2</v>
      </c>
      <c r="N73" s="12" t="str">
        <f t="shared" si="65"/>
        <v>Capital One Credit Card 2</v>
      </c>
      <c r="O73" s="12" t="str">
        <f t="shared" si="65"/>
        <v>Capital One Credit Card 2</v>
      </c>
      <c r="P73" s="12" t="str">
        <f t="shared" si="65"/>
        <v>Capital One Credit Card 2</v>
      </c>
      <c r="Q73" s="12" t="str">
        <f t="shared" si="65"/>
        <v>Capital One Credit Card 2</v>
      </c>
      <c r="R73" s="12" t="str">
        <f t="shared" si="65"/>
        <v>Capital One Credit Card 2</v>
      </c>
      <c r="S73" s="12" t="str">
        <f t="shared" si="65"/>
        <v>Capital One Credit Card 2</v>
      </c>
      <c r="T73" s="12" t="str">
        <f t="shared" si="65"/>
        <v>Capital One Credit Card 2</v>
      </c>
      <c r="U73" s="13" t="s">
        <v>257</v>
      </c>
      <c r="V73" s="12" t="s">
        <v>32</v>
      </c>
      <c r="W73" s="12"/>
      <c r="X73" s="12" t="str">
        <f t="shared" ref="X73:X95" si="66">D73</f>
        <v>Capital One Credit Card 2</v>
      </c>
    </row>
    <row r="74" spans="1:24" ht="16.05" customHeight="1" x14ac:dyDescent="0.3">
      <c r="A74" s="11" t="s">
        <v>258</v>
      </c>
      <c r="B74" s="11"/>
      <c r="C74" s="12" t="s">
        <v>259</v>
      </c>
      <c r="D74" s="12" t="str">
        <f t="shared" si="64"/>
        <v>Credit Card Payable - BJs</v>
      </c>
      <c r="E74" s="12" t="s">
        <v>172</v>
      </c>
      <c r="F74" s="12" t="s">
        <v>23</v>
      </c>
      <c r="G74" s="12" t="s">
        <v>251</v>
      </c>
      <c r="H74" s="12" t="s">
        <v>252</v>
      </c>
      <c r="I74" s="12" t="s">
        <v>253</v>
      </c>
      <c r="J74" s="12" t="s">
        <v>259</v>
      </c>
      <c r="K74" s="12" t="str">
        <f t="shared" ref="K74:T74" si="67">J74</f>
        <v>Credit Card Payable - BJs</v>
      </c>
      <c r="L74" s="12" t="str">
        <f t="shared" si="67"/>
        <v>Credit Card Payable - BJs</v>
      </c>
      <c r="M74" s="12" t="str">
        <f t="shared" si="67"/>
        <v>Credit Card Payable - BJs</v>
      </c>
      <c r="N74" s="12" t="str">
        <f t="shared" si="67"/>
        <v>Credit Card Payable - BJs</v>
      </c>
      <c r="O74" s="12" t="str">
        <f t="shared" si="67"/>
        <v>Credit Card Payable - BJs</v>
      </c>
      <c r="P74" s="12" t="str">
        <f t="shared" si="67"/>
        <v>Credit Card Payable - BJs</v>
      </c>
      <c r="Q74" s="12" t="str">
        <f t="shared" si="67"/>
        <v>Credit Card Payable - BJs</v>
      </c>
      <c r="R74" s="12" t="str">
        <f t="shared" si="67"/>
        <v>Credit Card Payable - BJs</v>
      </c>
      <c r="S74" s="12" t="str">
        <f t="shared" si="67"/>
        <v>Credit Card Payable - BJs</v>
      </c>
      <c r="T74" s="12" t="str">
        <f t="shared" si="67"/>
        <v>Credit Card Payable - BJs</v>
      </c>
      <c r="U74" s="13" t="s">
        <v>260</v>
      </c>
      <c r="V74" s="12" t="s">
        <v>32</v>
      </c>
      <c r="W74" s="12"/>
      <c r="X74" s="12" t="str">
        <f t="shared" si="66"/>
        <v>Credit Card Payable - BJs</v>
      </c>
    </row>
    <row r="75" spans="1:24" ht="16.05" customHeight="1" x14ac:dyDescent="0.3">
      <c r="A75" s="11" t="s">
        <v>261</v>
      </c>
      <c r="B75" s="11"/>
      <c r="C75" s="12" t="s">
        <v>262</v>
      </c>
      <c r="D75" s="12" t="str">
        <f t="shared" si="64"/>
        <v>Sams Credit Card</v>
      </c>
      <c r="E75" s="12" t="s">
        <v>172</v>
      </c>
      <c r="F75" s="12" t="s">
        <v>23</v>
      </c>
      <c r="G75" s="12" t="s">
        <v>251</v>
      </c>
      <c r="H75" s="12" t="s">
        <v>252</v>
      </c>
      <c r="I75" s="12" t="s">
        <v>253</v>
      </c>
      <c r="J75" s="12" t="s">
        <v>262</v>
      </c>
      <c r="K75" s="12" t="str">
        <f t="shared" ref="K75:T75" si="68">J75</f>
        <v>Sams Credit Card</v>
      </c>
      <c r="L75" s="12" t="str">
        <f t="shared" si="68"/>
        <v>Sams Credit Card</v>
      </c>
      <c r="M75" s="12" t="str">
        <f t="shared" si="68"/>
        <v>Sams Credit Card</v>
      </c>
      <c r="N75" s="12" t="str">
        <f t="shared" si="68"/>
        <v>Sams Credit Card</v>
      </c>
      <c r="O75" s="12" t="str">
        <f t="shared" si="68"/>
        <v>Sams Credit Card</v>
      </c>
      <c r="P75" s="12" t="str">
        <f t="shared" si="68"/>
        <v>Sams Credit Card</v>
      </c>
      <c r="Q75" s="12" t="str">
        <f t="shared" si="68"/>
        <v>Sams Credit Card</v>
      </c>
      <c r="R75" s="12" t="str">
        <f t="shared" si="68"/>
        <v>Sams Credit Card</v>
      </c>
      <c r="S75" s="12" t="str">
        <f t="shared" si="68"/>
        <v>Sams Credit Card</v>
      </c>
      <c r="T75" s="12" t="str">
        <f t="shared" si="68"/>
        <v>Sams Credit Card</v>
      </c>
      <c r="U75" s="13" t="s">
        <v>263</v>
      </c>
      <c r="V75" s="12" t="s">
        <v>32</v>
      </c>
      <c r="W75" s="12"/>
      <c r="X75" s="12" t="str">
        <f t="shared" si="66"/>
        <v>Sams Credit Card</v>
      </c>
    </row>
    <row r="76" spans="1:24" ht="16.05" customHeight="1" x14ac:dyDescent="0.3">
      <c r="A76" s="11" t="s">
        <v>264</v>
      </c>
      <c r="B76" s="11"/>
      <c r="C76" s="12" t="s">
        <v>265</v>
      </c>
      <c r="D76" s="12" t="str">
        <f t="shared" si="64"/>
        <v>Chase Ink Credit Card</v>
      </c>
      <c r="E76" s="12" t="s">
        <v>172</v>
      </c>
      <c r="F76" s="12" t="s">
        <v>23</v>
      </c>
      <c r="G76" s="12" t="s">
        <v>251</v>
      </c>
      <c r="H76" s="12" t="s">
        <v>252</v>
      </c>
      <c r="I76" s="12" t="s">
        <v>253</v>
      </c>
      <c r="J76" s="12" t="s">
        <v>265</v>
      </c>
      <c r="K76" s="12" t="str">
        <f t="shared" ref="K76:T76" si="69">J76</f>
        <v>Chase Ink Credit Card</v>
      </c>
      <c r="L76" s="12" t="str">
        <f t="shared" si="69"/>
        <v>Chase Ink Credit Card</v>
      </c>
      <c r="M76" s="12" t="str">
        <f t="shared" si="69"/>
        <v>Chase Ink Credit Card</v>
      </c>
      <c r="N76" s="12" t="str">
        <f t="shared" si="69"/>
        <v>Chase Ink Credit Card</v>
      </c>
      <c r="O76" s="12" t="str">
        <f t="shared" si="69"/>
        <v>Chase Ink Credit Card</v>
      </c>
      <c r="P76" s="12" t="str">
        <f t="shared" si="69"/>
        <v>Chase Ink Credit Card</v>
      </c>
      <c r="Q76" s="12" t="str">
        <f t="shared" si="69"/>
        <v>Chase Ink Credit Card</v>
      </c>
      <c r="R76" s="12" t="str">
        <f t="shared" si="69"/>
        <v>Chase Ink Credit Card</v>
      </c>
      <c r="S76" s="12" t="str">
        <f t="shared" si="69"/>
        <v>Chase Ink Credit Card</v>
      </c>
      <c r="T76" s="12" t="str">
        <f t="shared" si="69"/>
        <v>Chase Ink Credit Card</v>
      </c>
      <c r="U76" s="13" t="s">
        <v>266</v>
      </c>
      <c r="V76" s="12" t="s">
        <v>32</v>
      </c>
      <c r="W76" s="12"/>
      <c r="X76" s="12" t="str">
        <f t="shared" si="66"/>
        <v>Chase Ink Credit Card</v>
      </c>
    </row>
    <row r="77" spans="1:24" ht="16.05" customHeight="1" x14ac:dyDescent="0.3">
      <c r="A77" s="11" t="s">
        <v>267</v>
      </c>
      <c r="B77" s="11"/>
      <c r="C77" s="12" t="s">
        <v>268</v>
      </c>
      <c r="D77" s="12" t="str">
        <f t="shared" si="64"/>
        <v>Credit Card Payable - Capital One</v>
      </c>
      <c r="E77" s="12" t="s">
        <v>172</v>
      </c>
      <c r="F77" s="12" t="s">
        <v>23</v>
      </c>
      <c r="G77" s="12" t="s">
        <v>251</v>
      </c>
      <c r="H77" s="12" t="s">
        <v>252</v>
      </c>
      <c r="I77" s="12" t="s">
        <v>253</v>
      </c>
      <c r="J77" s="12" t="s">
        <v>268</v>
      </c>
      <c r="K77" s="12" t="str">
        <f t="shared" ref="K77:T77" si="70">J77</f>
        <v>Credit Card Payable - Capital One</v>
      </c>
      <c r="L77" s="12" t="str">
        <f t="shared" si="70"/>
        <v>Credit Card Payable - Capital One</v>
      </c>
      <c r="M77" s="12" t="str">
        <f t="shared" si="70"/>
        <v>Credit Card Payable - Capital One</v>
      </c>
      <c r="N77" s="12" t="str">
        <f t="shared" si="70"/>
        <v>Credit Card Payable - Capital One</v>
      </c>
      <c r="O77" s="12" t="str">
        <f t="shared" si="70"/>
        <v>Credit Card Payable - Capital One</v>
      </c>
      <c r="P77" s="12" t="str">
        <f t="shared" si="70"/>
        <v>Credit Card Payable - Capital One</v>
      </c>
      <c r="Q77" s="12" t="str">
        <f t="shared" si="70"/>
        <v>Credit Card Payable - Capital One</v>
      </c>
      <c r="R77" s="12" t="str">
        <f t="shared" si="70"/>
        <v>Credit Card Payable - Capital One</v>
      </c>
      <c r="S77" s="12" t="str">
        <f t="shared" si="70"/>
        <v>Credit Card Payable - Capital One</v>
      </c>
      <c r="T77" s="12" t="str">
        <f t="shared" si="70"/>
        <v>Credit Card Payable - Capital One</v>
      </c>
      <c r="U77" s="13" t="s">
        <v>269</v>
      </c>
      <c r="V77" s="12" t="s">
        <v>32</v>
      </c>
      <c r="W77" s="12"/>
      <c r="X77" s="12" t="str">
        <f t="shared" si="66"/>
        <v>Credit Card Payable - Capital One</v>
      </c>
    </row>
    <row r="78" spans="1:24" ht="16.05" customHeight="1" x14ac:dyDescent="0.3">
      <c r="A78" s="11" t="s">
        <v>270</v>
      </c>
      <c r="B78" s="11"/>
      <c r="C78" s="12" t="s">
        <v>271</v>
      </c>
      <c r="D78" s="12" t="str">
        <f t="shared" si="64"/>
        <v>Credit Card Payable - Sams Club</v>
      </c>
      <c r="E78" s="12" t="s">
        <v>172</v>
      </c>
      <c r="F78" s="12" t="s">
        <v>23</v>
      </c>
      <c r="G78" s="12" t="s">
        <v>251</v>
      </c>
      <c r="H78" s="12" t="s">
        <v>252</v>
      </c>
      <c r="I78" s="12" t="s">
        <v>253</v>
      </c>
      <c r="J78" s="12" t="s">
        <v>271</v>
      </c>
      <c r="K78" s="12" t="str">
        <f t="shared" ref="K78:T78" si="71">J78</f>
        <v>Credit Card Payable - Sams Club</v>
      </c>
      <c r="L78" s="12" t="str">
        <f t="shared" si="71"/>
        <v>Credit Card Payable - Sams Club</v>
      </c>
      <c r="M78" s="12" t="str">
        <f t="shared" si="71"/>
        <v>Credit Card Payable - Sams Club</v>
      </c>
      <c r="N78" s="12" t="str">
        <f t="shared" si="71"/>
        <v>Credit Card Payable - Sams Club</v>
      </c>
      <c r="O78" s="12" t="str">
        <f t="shared" si="71"/>
        <v>Credit Card Payable - Sams Club</v>
      </c>
      <c r="P78" s="12" t="str">
        <f t="shared" si="71"/>
        <v>Credit Card Payable - Sams Club</v>
      </c>
      <c r="Q78" s="12" t="str">
        <f t="shared" si="71"/>
        <v>Credit Card Payable - Sams Club</v>
      </c>
      <c r="R78" s="12" t="str">
        <f t="shared" si="71"/>
        <v>Credit Card Payable - Sams Club</v>
      </c>
      <c r="S78" s="12" t="str">
        <f t="shared" si="71"/>
        <v>Credit Card Payable - Sams Club</v>
      </c>
      <c r="T78" s="12" t="str">
        <f t="shared" si="71"/>
        <v>Credit Card Payable - Sams Club</v>
      </c>
      <c r="U78" s="13" t="s">
        <v>272</v>
      </c>
      <c r="V78" s="12" t="s">
        <v>32</v>
      </c>
      <c r="W78" s="12"/>
      <c r="X78" s="12" t="str">
        <f t="shared" si="66"/>
        <v>Credit Card Payable - Sams Club</v>
      </c>
    </row>
    <row r="79" spans="1:24" ht="16.05" customHeight="1" x14ac:dyDescent="0.3">
      <c r="A79" s="11" t="s">
        <v>273</v>
      </c>
      <c r="B79" s="11"/>
      <c r="C79" s="12" t="s">
        <v>274</v>
      </c>
      <c r="D79" s="12" t="str">
        <f t="shared" si="64"/>
        <v>Credit Card Payment</v>
      </c>
      <c r="E79" s="12" t="s">
        <v>172</v>
      </c>
      <c r="F79" s="12" t="s">
        <v>23</v>
      </c>
      <c r="G79" s="12" t="s">
        <v>251</v>
      </c>
      <c r="H79" s="12" t="s">
        <v>252</v>
      </c>
      <c r="I79" s="12" t="s">
        <v>253</v>
      </c>
      <c r="J79" s="12" t="s">
        <v>274</v>
      </c>
      <c r="K79" s="12" t="str">
        <f t="shared" ref="K79:T79" si="72">J79</f>
        <v>Credit Card Payment</v>
      </c>
      <c r="L79" s="12" t="str">
        <f t="shared" si="72"/>
        <v>Credit Card Payment</v>
      </c>
      <c r="M79" s="12" t="str">
        <f t="shared" si="72"/>
        <v>Credit Card Payment</v>
      </c>
      <c r="N79" s="12" t="str">
        <f t="shared" si="72"/>
        <v>Credit Card Payment</v>
      </c>
      <c r="O79" s="12" t="str">
        <f t="shared" si="72"/>
        <v>Credit Card Payment</v>
      </c>
      <c r="P79" s="12" t="str">
        <f t="shared" si="72"/>
        <v>Credit Card Payment</v>
      </c>
      <c r="Q79" s="12" t="str">
        <f t="shared" si="72"/>
        <v>Credit Card Payment</v>
      </c>
      <c r="R79" s="12" t="str">
        <f t="shared" si="72"/>
        <v>Credit Card Payment</v>
      </c>
      <c r="S79" s="12" t="str">
        <f t="shared" si="72"/>
        <v>Credit Card Payment</v>
      </c>
      <c r="T79" s="12" t="str">
        <f t="shared" si="72"/>
        <v>Credit Card Payment</v>
      </c>
      <c r="U79" s="13" t="s">
        <v>275</v>
      </c>
      <c r="V79" s="12" t="s">
        <v>169</v>
      </c>
      <c r="W79" s="12"/>
      <c r="X79" s="12" t="str">
        <f t="shared" si="66"/>
        <v>Credit Card Payment</v>
      </c>
    </row>
    <row r="80" spans="1:24" ht="16.05" customHeight="1" x14ac:dyDescent="0.3">
      <c r="A80" s="11" t="s">
        <v>276</v>
      </c>
      <c r="B80" s="11"/>
      <c r="C80" s="12" t="s">
        <v>277</v>
      </c>
      <c r="D80" s="12" t="str">
        <f t="shared" si="64"/>
        <v>Sams Club Credit Card</v>
      </c>
      <c r="E80" s="12" t="s">
        <v>172</v>
      </c>
      <c r="F80" s="12" t="s">
        <v>23</v>
      </c>
      <c r="G80" s="12" t="s">
        <v>251</v>
      </c>
      <c r="H80" s="12" t="s">
        <v>252</v>
      </c>
      <c r="I80" s="12" t="s">
        <v>253</v>
      </c>
      <c r="J80" s="12" t="s">
        <v>277</v>
      </c>
      <c r="K80" s="12" t="str">
        <f t="shared" ref="K80:T80" si="73">J80</f>
        <v>Sams Club Credit Card</v>
      </c>
      <c r="L80" s="12" t="str">
        <f t="shared" si="73"/>
        <v>Sams Club Credit Card</v>
      </c>
      <c r="M80" s="12" t="str">
        <f t="shared" si="73"/>
        <v>Sams Club Credit Card</v>
      </c>
      <c r="N80" s="12" t="str">
        <f t="shared" si="73"/>
        <v>Sams Club Credit Card</v>
      </c>
      <c r="O80" s="12" t="str">
        <f t="shared" si="73"/>
        <v>Sams Club Credit Card</v>
      </c>
      <c r="P80" s="12" t="str">
        <f t="shared" si="73"/>
        <v>Sams Club Credit Card</v>
      </c>
      <c r="Q80" s="12" t="str">
        <f t="shared" si="73"/>
        <v>Sams Club Credit Card</v>
      </c>
      <c r="R80" s="12" t="str">
        <f t="shared" si="73"/>
        <v>Sams Club Credit Card</v>
      </c>
      <c r="S80" s="12" t="str">
        <f t="shared" si="73"/>
        <v>Sams Club Credit Card</v>
      </c>
      <c r="T80" s="12" t="str">
        <f t="shared" si="73"/>
        <v>Sams Club Credit Card</v>
      </c>
      <c r="U80" s="13" t="s">
        <v>278</v>
      </c>
      <c r="V80" s="12" t="s">
        <v>32</v>
      </c>
      <c r="W80" s="12"/>
      <c r="X80" s="12" t="str">
        <f t="shared" si="66"/>
        <v>Sams Club Credit Card</v>
      </c>
    </row>
    <row r="81" spans="1:24" ht="16.05" customHeight="1" x14ac:dyDescent="0.3">
      <c r="A81" s="11" t="s">
        <v>279</v>
      </c>
      <c r="B81" s="11"/>
      <c r="C81" s="12" t="s">
        <v>280</v>
      </c>
      <c r="D81" s="12" t="str">
        <f t="shared" si="64"/>
        <v>Accrued Meals Tax</v>
      </c>
      <c r="E81" s="12" t="s">
        <v>172</v>
      </c>
      <c r="F81" s="12" t="s">
        <v>23</v>
      </c>
      <c r="G81" s="12" t="s">
        <v>251</v>
      </c>
      <c r="H81" s="12" t="s">
        <v>252</v>
      </c>
      <c r="I81" s="12" t="s">
        <v>281</v>
      </c>
      <c r="J81" s="12" t="s">
        <v>280</v>
      </c>
      <c r="K81" s="12" t="str">
        <f t="shared" ref="K81:T81" si="74">J81</f>
        <v>Accrued Meals Tax</v>
      </c>
      <c r="L81" s="12" t="str">
        <f t="shared" si="74"/>
        <v>Accrued Meals Tax</v>
      </c>
      <c r="M81" s="12" t="str">
        <f t="shared" si="74"/>
        <v>Accrued Meals Tax</v>
      </c>
      <c r="N81" s="12" t="str">
        <f t="shared" si="74"/>
        <v>Accrued Meals Tax</v>
      </c>
      <c r="O81" s="12" t="str">
        <f t="shared" si="74"/>
        <v>Accrued Meals Tax</v>
      </c>
      <c r="P81" s="12" t="str">
        <f t="shared" si="74"/>
        <v>Accrued Meals Tax</v>
      </c>
      <c r="Q81" s="12" t="str">
        <f t="shared" si="74"/>
        <v>Accrued Meals Tax</v>
      </c>
      <c r="R81" s="12" t="str">
        <f t="shared" si="74"/>
        <v>Accrued Meals Tax</v>
      </c>
      <c r="S81" s="12" t="str">
        <f t="shared" si="74"/>
        <v>Accrued Meals Tax</v>
      </c>
      <c r="T81" s="12" t="str">
        <f t="shared" si="74"/>
        <v>Accrued Meals Tax</v>
      </c>
      <c r="U81" s="13" t="s">
        <v>282</v>
      </c>
      <c r="V81" s="12" t="s">
        <v>32</v>
      </c>
      <c r="W81" s="12"/>
      <c r="X81" s="12" t="str">
        <f t="shared" si="66"/>
        <v>Accrued Meals Tax</v>
      </c>
    </row>
    <row r="82" spans="1:24" ht="16.05" customHeight="1" x14ac:dyDescent="0.3">
      <c r="A82" s="11" t="s">
        <v>283</v>
      </c>
      <c r="B82" s="11"/>
      <c r="C82" s="12" t="s">
        <v>284</v>
      </c>
      <c r="D82" s="12" t="str">
        <f t="shared" si="64"/>
        <v>Loan Payable - Officer</v>
      </c>
      <c r="E82" s="12" t="s">
        <v>172</v>
      </c>
      <c r="F82" s="12" t="s">
        <v>23</v>
      </c>
      <c r="G82" s="12" t="s">
        <v>251</v>
      </c>
      <c r="H82" s="12" t="s">
        <v>252</v>
      </c>
      <c r="I82" s="12" t="s">
        <v>281</v>
      </c>
      <c r="J82" s="12" t="s">
        <v>284</v>
      </c>
      <c r="K82" s="12" t="str">
        <f t="shared" ref="K82:T82" si="75">J82</f>
        <v>Loan Payable - Officer</v>
      </c>
      <c r="L82" s="12" t="str">
        <f t="shared" si="75"/>
        <v>Loan Payable - Officer</v>
      </c>
      <c r="M82" s="12" t="str">
        <f t="shared" si="75"/>
        <v>Loan Payable - Officer</v>
      </c>
      <c r="N82" s="12" t="str">
        <f t="shared" si="75"/>
        <v>Loan Payable - Officer</v>
      </c>
      <c r="O82" s="12" t="str">
        <f t="shared" si="75"/>
        <v>Loan Payable - Officer</v>
      </c>
      <c r="P82" s="12" t="str">
        <f t="shared" si="75"/>
        <v>Loan Payable - Officer</v>
      </c>
      <c r="Q82" s="12" t="str">
        <f t="shared" si="75"/>
        <v>Loan Payable - Officer</v>
      </c>
      <c r="R82" s="12" t="str">
        <f t="shared" si="75"/>
        <v>Loan Payable - Officer</v>
      </c>
      <c r="S82" s="12" t="str">
        <f t="shared" si="75"/>
        <v>Loan Payable - Officer</v>
      </c>
      <c r="T82" s="12" t="str">
        <f t="shared" si="75"/>
        <v>Loan Payable - Officer</v>
      </c>
      <c r="U82" s="13" t="s">
        <v>285</v>
      </c>
      <c r="V82" s="12" t="s">
        <v>169</v>
      </c>
      <c r="W82" s="12"/>
      <c r="X82" s="12" t="str">
        <f t="shared" si="66"/>
        <v>Loan Payable - Officer</v>
      </c>
    </row>
    <row r="83" spans="1:24" ht="16.05" customHeight="1" x14ac:dyDescent="0.3">
      <c r="A83" s="11" t="s">
        <v>286</v>
      </c>
      <c r="B83" s="11"/>
      <c r="C83" s="12" t="s">
        <v>287</v>
      </c>
      <c r="D83" s="12" t="str">
        <f t="shared" si="64"/>
        <v>Loan Payable from MTP</v>
      </c>
      <c r="E83" s="12" t="s">
        <v>172</v>
      </c>
      <c r="F83" s="12" t="s">
        <v>23</v>
      </c>
      <c r="G83" s="12" t="s">
        <v>251</v>
      </c>
      <c r="H83" s="12" t="s">
        <v>252</v>
      </c>
      <c r="I83" s="12" t="s">
        <v>281</v>
      </c>
      <c r="J83" s="12" t="s">
        <v>287</v>
      </c>
      <c r="K83" s="12" t="str">
        <f t="shared" ref="K83:T83" si="76">J83</f>
        <v>Loan Payable from MTP</v>
      </c>
      <c r="L83" s="12" t="str">
        <f t="shared" si="76"/>
        <v>Loan Payable from MTP</v>
      </c>
      <c r="M83" s="12" t="str">
        <f t="shared" si="76"/>
        <v>Loan Payable from MTP</v>
      </c>
      <c r="N83" s="12" t="str">
        <f t="shared" si="76"/>
        <v>Loan Payable from MTP</v>
      </c>
      <c r="O83" s="12" t="str">
        <f t="shared" si="76"/>
        <v>Loan Payable from MTP</v>
      </c>
      <c r="P83" s="12" t="str">
        <f t="shared" si="76"/>
        <v>Loan Payable from MTP</v>
      </c>
      <c r="Q83" s="12" t="str">
        <f t="shared" si="76"/>
        <v>Loan Payable from MTP</v>
      </c>
      <c r="R83" s="12" t="str">
        <f t="shared" si="76"/>
        <v>Loan Payable from MTP</v>
      </c>
      <c r="S83" s="12" t="str">
        <f t="shared" si="76"/>
        <v>Loan Payable from MTP</v>
      </c>
      <c r="T83" s="12" t="str">
        <f t="shared" si="76"/>
        <v>Loan Payable from MTP</v>
      </c>
      <c r="U83" s="13" t="s">
        <v>288</v>
      </c>
      <c r="V83" s="12" t="s">
        <v>169</v>
      </c>
      <c r="W83" s="12"/>
      <c r="X83" s="12" t="str">
        <f t="shared" si="66"/>
        <v>Loan Payable from MTP</v>
      </c>
    </row>
    <row r="84" spans="1:24" ht="16.05" customHeight="1" x14ac:dyDescent="0.3">
      <c r="A84" s="11" t="s">
        <v>289</v>
      </c>
      <c r="B84" s="11"/>
      <c r="C84" s="12" t="s">
        <v>290</v>
      </c>
      <c r="D84" s="12" t="str">
        <f t="shared" si="64"/>
        <v>Loan Payable - Florian Realty LLC</v>
      </c>
      <c r="E84" s="12" t="s">
        <v>172</v>
      </c>
      <c r="F84" s="12" t="s">
        <v>23</v>
      </c>
      <c r="G84" s="12" t="s">
        <v>251</v>
      </c>
      <c r="H84" s="12" t="s">
        <v>252</v>
      </c>
      <c r="I84" s="12" t="s">
        <v>281</v>
      </c>
      <c r="J84" s="12" t="s">
        <v>290</v>
      </c>
      <c r="K84" s="12" t="str">
        <f t="shared" ref="K84:T84" si="77">J84</f>
        <v>Loan Payable - Florian Realty LLC</v>
      </c>
      <c r="L84" s="12" t="str">
        <f t="shared" si="77"/>
        <v>Loan Payable - Florian Realty LLC</v>
      </c>
      <c r="M84" s="12" t="str">
        <f t="shared" si="77"/>
        <v>Loan Payable - Florian Realty LLC</v>
      </c>
      <c r="N84" s="12" t="str">
        <f t="shared" si="77"/>
        <v>Loan Payable - Florian Realty LLC</v>
      </c>
      <c r="O84" s="12" t="str">
        <f t="shared" si="77"/>
        <v>Loan Payable - Florian Realty LLC</v>
      </c>
      <c r="P84" s="12" t="str">
        <f t="shared" si="77"/>
        <v>Loan Payable - Florian Realty LLC</v>
      </c>
      <c r="Q84" s="12" t="str">
        <f t="shared" si="77"/>
        <v>Loan Payable - Florian Realty LLC</v>
      </c>
      <c r="R84" s="12" t="str">
        <f t="shared" si="77"/>
        <v>Loan Payable - Florian Realty LLC</v>
      </c>
      <c r="S84" s="12" t="str">
        <f t="shared" si="77"/>
        <v>Loan Payable - Florian Realty LLC</v>
      </c>
      <c r="T84" s="12" t="str">
        <f t="shared" si="77"/>
        <v>Loan Payable - Florian Realty LLC</v>
      </c>
      <c r="U84" s="13" t="s">
        <v>291</v>
      </c>
      <c r="V84" s="12" t="s">
        <v>169</v>
      </c>
      <c r="W84" s="12"/>
      <c r="X84" s="12" t="str">
        <f t="shared" si="66"/>
        <v>Loan Payable - Florian Realty LLC</v>
      </c>
    </row>
    <row r="85" spans="1:24" ht="16.05" customHeight="1" x14ac:dyDescent="0.3">
      <c r="A85" s="11" t="s">
        <v>292</v>
      </c>
      <c r="B85" s="11"/>
      <c r="C85" s="12" t="s">
        <v>293</v>
      </c>
      <c r="D85" s="12" t="str">
        <f t="shared" si="64"/>
        <v>Loan Payable - Government EIDL</v>
      </c>
      <c r="E85" s="12" t="s">
        <v>172</v>
      </c>
      <c r="F85" s="12" t="s">
        <v>23</v>
      </c>
      <c r="G85" s="12" t="s">
        <v>251</v>
      </c>
      <c r="H85" s="12" t="s">
        <v>252</v>
      </c>
      <c r="I85" s="12" t="s">
        <v>281</v>
      </c>
      <c r="J85" s="12" t="s">
        <v>293</v>
      </c>
      <c r="K85" s="12" t="str">
        <f t="shared" ref="K85:T85" si="78">J85</f>
        <v>Loan Payable - Government EIDL</v>
      </c>
      <c r="L85" s="12" t="str">
        <f t="shared" si="78"/>
        <v>Loan Payable - Government EIDL</v>
      </c>
      <c r="M85" s="12" t="str">
        <f t="shared" si="78"/>
        <v>Loan Payable - Government EIDL</v>
      </c>
      <c r="N85" s="12" t="str">
        <f t="shared" si="78"/>
        <v>Loan Payable - Government EIDL</v>
      </c>
      <c r="O85" s="12" t="str">
        <f t="shared" si="78"/>
        <v>Loan Payable - Government EIDL</v>
      </c>
      <c r="P85" s="12" t="str">
        <f t="shared" si="78"/>
        <v>Loan Payable - Government EIDL</v>
      </c>
      <c r="Q85" s="12" t="str">
        <f t="shared" si="78"/>
        <v>Loan Payable - Government EIDL</v>
      </c>
      <c r="R85" s="12" t="str">
        <f t="shared" si="78"/>
        <v>Loan Payable - Government EIDL</v>
      </c>
      <c r="S85" s="12" t="str">
        <f t="shared" si="78"/>
        <v>Loan Payable - Government EIDL</v>
      </c>
      <c r="T85" s="12" t="str">
        <f t="shared" si="78"/>
        <v>Loan Payable - Government EIDL</v>
      </c>
      <c r="U85" s="13" t="s">
        <v>294</v>
      </c>
      <c r="V85" s="12" t="s">
        <v>32</v>
      </c>
      <c r="W85" s="12"/>
      <c r="X85" s="12" t="str">
        <f t="shared" si="66"/>
        <v>Loan Payable - Government EIDL</v>
      </c>
    </row>
    <row r="86" spans="1:24" ht="16.05" customHeight="1" x14ac:dyDescent="0.3">
      <c r="A86" s="11" t="s">
        <v>295</v>
      </c>
      <c r="B86" s="11"/>
      <c r="C86" s="12" t="s">
        <v>296</v>
      </c>
      <c r="D86" s="12" t="str">
        <f t="shared" si="64"/>
        <v>Loan Payable - PPP Loan</v>
      </c>
      <c r="E86" s="12" t="s">
        <v>172</v>
      </c>
      <c r="F86" s="12" t="s">
        <v>23</v>
      </c>
      <c r="G86" s="12" t="s">
        <v>251</v>
      </c>
      <c r="H86" s="12" t="s">
        <v>252</v>
      </c>
      <c r="I86" s="12" t="s">
        <v>281</v>
      </c>
      <c r="J86" s="12" t="s">
        <v>296</v>
      </c>
      <c r="K86" s="12" t="str">
        <f t="shared" ref="K86:T86" si="79">J86</f>
        <v>Loan Payable - PPP Loan</v>
      </c>
      <c r="L86" s="12" t="str">
        <f t="shared" si="79"/>
        <v>Loan Payable - PPP Loan</v>
      </c>
      <c r="M86" s="12" t="str">
        <f t="shared" si="79"/>
        <v>Loan Payable - PPP Loan</v>
      </c>
      <c r="N86" s="12" t="str">
        <f t="shared" si="79"/>
        <v>Loan Payable - PPP Loan</v>
      </c>
      <c r="O86" s="12" t="str">
        <f t="shared" si="79"/>
        <v>Loan Payable - PPP Loan</v>
      </c>
      <c r="P86" s="12" t="str">
        <f t="shared" si="79"/>
        <v>Loan Payable - PPP Loan</v>
      </c>
      <c r="Q86" s="12" t="str">
        <f t="shared" si="79"/>
        <v>Loan Payable - PPP Loan</v>
      </c>
      <c r="R86" s="12" t="str">
        <f t="shared" si="79"/>
        <v>Loan Payable - PPP Loan</v>
      </c>
      <c r="S86" s="12" t="str">
        <f t="shared" si="79"/>
        <v>Loan Payable - PPP Loan</v>
      </c>
      <c r="T86" s="12" t="str">
        <f t="shared" si="79"/>
        <v>Loan Payable - PPP Loan</v>
      </c>
      <c r="U86" s="13" t="s">
        <v>297</v>
      </c>
      <c r="V86" s="12" t="s">
        <v>32</v>
      </c>
      <c r="W86" s="12"/>
      <c r="X86" s="12" t="str">
        <f t="shared" si="66"/>
        <v>Loan Payable - PPP Loan</v>
      </c>
    </row>
    <row r="87" spans="1:24" ht="16.05" customHeight="1" x14ac:dyDescent="0.3">
      <c r="A87" s="11" t="s">
        <v>298</v>
      </c>
      <c r="B87" s="11"/>
      <c r="C87" s="12" t="s">
        <v>299</v>
      </c>
      <c r="D87" s="12" t="str">
        <f t="shared" si="64"/>
        <v>Loan Payable - State of NH</v>
      </c>
      <c r="E87" s="12" t="s">
        <v>172</v>
      </c>
      <c r="F87" s="12" t="s">
        <v>23</v>
      </c>
      <c r="G87" s="12" t="s">
        <v>251</v>
      </c>
      <c r="H87" s="12" t="s">
        <v>252</v>
      </c>
      <c r="I87" s="12" t="s">
        <v>281</v>
      </c>
      <c r="J87" s="12" t="s">
        <v>299</v>
      </c>
      <c r="K87" s="12" t="str">
        <f t="shared" ref="K87:T87" si="80">J87</f>
        <v>Loan Payable - State of NH</v>
      </c>
      <c r="L87" s="12" t="str">
        <f t="shared" si="80"/>
        <v>Loan Payable - State of NH</v>
      </c>
      <c r="M87" s="12" t="str">
        <f t="shared" si="80"/>
        <v>Loan Payable - State of NH</v>
      </c>
      <c r="N87" s="12" t="str">
        <f t="shared" si="80"/>
        <v>Loan Payable - State of NH</v>
      </c>
      <c r="O87" s="12" t="str">
        <f t="shared" si="80"/>
        <v>Loan Payable - State of NH</v>
      </c>
      <c r="P87" s="12" t="str">
        <f t="shared" si="80"/>
        <v>Loan Payable - State of NH</v>
      </c>
      <c r="Q87" s="12" t="str">
        <f t="shared" si="80"/>
        <v>Loan Payable - State of NH</v>
      </c>
      <c r="R87" s="12" t="str">
        <f t="shared" si="80"/>
        <v>Loan Payable - State of NH</v>
      </c>
      <c r="S87" s="12" t="str">
        <f t="shared" si="80"/>
        <v>Loan Payable - State of NH</v>
      </c>
      <c r="T87" s="12" t="str">
        <f t="shared" si="80"/>
        <v>Loan Payable - State of NH</v>
      </c>
      <c r="U87" s="13" t="s">
        <v>300</v>
      </c>
      <c r="V87" s="12" t="s">
        <v>32</v>
      </c>
      <c r="W87" s="12"/>
      <c r="X87" s="12" t="str">
        <f t="shared" si="66"/>
        <v>Loan Payable - State of NH</v>
      </c>
    </row>
    <row r="88" spans="1:24" ht="16.05" customHeight="1" x14ac:dyDescent="0.3">
      <c r="A88" s="11" t="s">
        <v>301</v>
      </c>
      <c r="B88" s="11"/>
      <c r="C88" s="12" t="s">
        <v>302</v>
      </c>
      <c r="D88" s="12" t="str">
        <f t="shared" si="64"/>
        <v>Government Loan Payable - SBA</v>
      </c>
      <c r="E88" s="12" t="s">
        <v>172</v>
      </c>
      <c r="F88" s="12" t="s">
        <v>23</v>
      </c>
      <c r="G88" s="12" t="s">
        <v>251</v>
      </c>
      <c r="H88" s="12" t="s">
        <v>303</v>
      </c>
      <c r="I88" s="12" t="s">
        <v>304</v>
      </c>
      <c r="J88" s="12" t="s">
        <v>302</v>
      </c>
      <c r="K88" s="12" t="str">
        <f t="shared" ref="K88:T88" si="81">J88</f>
        <v>Government Loan Payable - SBA</v>
      </c>
      <c r="L88" s="12" t="str">
        <f t="shared" si="81"/>
        <v>Government Loan Payable - SBA</v>
      </c>
      <c r="M88" s="12" t="str">
        <f t="shared" si="81"/>
        <v>Government Loan Payable - SBA</v>
      </c>
      <c r="N88" s="12" t="str">
        <f t="shared" si="81"/>
        <v>Government Loan Payable - SBA</v>
      </c>
      <c r="O88" s="12" t="str">
        <f t="shared" si="81"/>
        <v>Government Loan Payable - SBA</v>
      </c>
      <c r="P88" s="12" t="str">
        <f t="shared" si="81"/>
        <v>Government Loan Payable - SBA</v>
      </c>
      <c r="Q88" s="12" t="str">
        <f t="shared" si="81"/>
        <v>Government Loan Payable - SBA</v>
      </c>
      <c r="R88" s="12" t="str">
        <f t="shared" si="81"/>
        <v>Government Loan Payable - SBA</v>
      </c>
      <c r="S88" s="12" t="str">
        <f t="shared" si="81"/>
        <v>Government Loan Payable - SBA</v>
      </c>
      <c r="T88" s="12" t="str">
        <f t="shared" si="81"/>
        <v>Government Loan Payable - SBA</v>
      </c>
      <c r="U88" s="13" t="s">
        <v>305</v>
      </c>
      <c r="V88" s="12" t="s">
        <v>32</v>
      </c>
      <c r="W88" s="12"/>
      <c r="X88" s="12" t="str">
        <f t="shared" si="66"/>
        <v>Government Loan Payable - SBA</v>
      </c>
    </row>
    <row r="89" spans="1:24" ht="16.05" customHeight="1" x14ac:dyDescent="0.3">
      <c r="A89" s="11" t="s">
        <v>306</v>
      </c>
      <c r="B89" s="11"/>
      <c r="C89" s="12" t="s">
        <v>307</v>
      </c>
      <c r="D89" s="12" t="str">
        <f t="shared" si="64"/>
        <v>Loan Payable - Provident Bank</v>
      </c>
      <c r="E89" s="12" t="s">
        <v>172</v>
      </c>
      <c r="F89" s="12" t="s">
        <v>23</v>
      </c>
      <c r="G89" s="12" t="s">
        <v>251</v>
      </c>
      <c r="H89" s="12" t="s">
        <v>303</v>
      </c>
      <c r="I89" s="12" t="s">
        <v>304</v>
      </c>
      <c r="J89" s="12" t="s">
        <v>307</v>
      </c>
      <c r="K89" s="12" t="str">
        <f t="shared" ref="K89:T89" si="82">J89</f>
        <v>Loan Payable - Provident Bank</v>
      </c>
      <c r="L89" s="12" t="str">
        <f t="shared" si="82"/>
        <v>Loan Payable - Provident Bank</v>
      </c>
      <c r="M89" s="12" t="str">
        <f t="shared" si="82"/>
        <v>Loan Payable - Provident Bank</v>
      </c>
      <c r="N89" s="12" t="str">
        <f t="shared" si="82"/>
        <v>Loan Payable - Provident Bank</v>
      </c>
      <c r="O89" s="12" t="str">
        <f t="shared" si="82"/>
        <v>Loan Payable - Provident Bank</v>
      </c>
      <c r="P89" s="12" t="str">
        <f t="shared" si="82"/>
        <v>Loan Payable - Provident Bank</v>
      </c>
      <c r="Q89" s="12" t="str">
        <f t="shared" si="82"/>
        <v>Loan Payable - Provident Bank</v>
      </c>
      <c r="R89" s="12" t="str">
        <f t="shared" si="82"/>
        <v>Loan Payable - Provident Bank</v>
      </c>
      <c r="S89" s="12" t="str">
        <f t="shared" si="82"/>
        <v>Loan Payable - Provident Bank</v>
      </c>
      <c r="T89" s="12" t="str">
        <f t="shared" si="82"/>
        <v>Loan Payable - Provident Bank</v>
      </c>
      <c r="U89" s="13" t="s">
        <v>308</v>
      </c>
      <c r="V89" s="12" t="s">
        <v>32</v>
      </c>
      <c r="W89" s="12"/>
      <c r="X89" s="12" t="str">
        <f t="shared" si="66"/>
        <v>Loan Payable - Provident Bank</v>
      </c>
    </row>
    <row r="90" spans="1:24" ht="16.05" customHeight="1" x14ac:dyDescent="0.3">
      <c r="A90" s="11" t="s">
        <v>309</v>
      </c>
      <c r="B90" s="11"/>
      <c r="C90" s="12" t="s">
        <v>310</v>
      </c>
      <c r="D90" s="12" t="str">
        <f t="shared" si="64"/>
        <v>Loan Payable - Porsche</v>
      </c>
      <c r="E90" s="12" t="s">
        <v>172</v>
      </c>
      <c r="F90" s="12" t="s">
        <v>23</v>
      </c>
      <c r="G90" s="12" t="s">
        <v>251</v>
      </c>
      <c r="H90" s="12" t="s">
        <v>303</v>
      </c>
      <c r="I90" s="12" t="s">
        <v>304</v>
      </c>
      <c r="J90" s="12" t="s">
        <v>310</v>
      </c>
      <c r="K90" s="12" t="str">
        <f t="shared" ref="K90:T90" si="83">J90</f>
        <v>Loan Payable - Porsche</v>
      </c>
      <c r="L90" s="12" t="str">
        <f t="shared" si="83"/>
        <v>Loan Payable - Porsche</v>
      </c>
      <c r="M90" s="12" t="str">
        <f t="shared" si="83"/>
        <v>Loan Payable - Porsche</v>
      </c>
      <c r="N90" s="12" t="str">
        <f t="shared" si="83"/>
        <v>Loan Payable - Porsche</v>
      </c>
      <c r="O90" s="12" t="str">
        <f t="shared" si="83"/>
        <v>Loan Payable - Porsche</v>
      </c>
      <c r="P90" s="12" t="str">
        <f t="shared" si="83"/>
        <v>Loan Payable - Porsche</v>
      </c>
      <c r="Q90" s="12" t="str">
        <f t="shared" si="83"/>
        <v>Loan Payable - Porsche</v>
      </c>
      <c r="R90" s="12" t="str">
        <f t="shared" si="83"/>
        <v>Loan Payable - Porsche</v>
      </c>
      <c r="S90" s="12" t="str">
        <f t="shared" si="83"/>
        <v>Loan Payable - Porsche</v>
      </c>
      <c r="T90" s="12" t="str">
        <f t="shared" si="83"/>
        <v>Loan Payable - Porsche</v>
      </c>
      <c r="U90" s="13" t="s">
        <v>311</v>
      </c>
      <c r="V90" s="12" t="s">
        <v>169</v>
      </c>
      <c r="W90" s="12"/>
      <c r="X90" s="12" t="str">
        <f t="shared" si="66"/>
        <v>Loan Payable - Porsche</v>
      </c>
    </row>
    <row r="91" spans="1:24" ht="16.05" customHeight="1" x14ac:dyDescent="0.3">
      <c r="A91" s="11" t="s">
        <v>312</v>
      </c>
      <c r="B91" s="11"/>
      <c r="C91" s="12" t="s">
        <v>313</v>
      </c>
      <c r="D91" s="12" t="str">
        <f t="shared" si="64"/>
        <v>Loan Payable - Betson Enterprises</v>
      </c>
      <c r="E91" s="12" t="s">
        <v>172</v>
      </c>
      <c r="F91" s="12" t="s">
        <v>23</v>
      </c>
      <c r="G91" s="12" t="s">
        <v>251</v>
      </c>
      <c r="H91" s="12" t="s">
        <v>303</v>
      </c>
      <c r="I91" s="12" t="s">
        <v>304</v>
      </c>
      <c r="J91" s="12" t="s">
        <v>313</v>
      </c>
      <c r="K91" s="12" t="str">
        <f t="shared" ref="K91:T91" si="84">J91</f>
        <v>Loan Payable - Betson Enterprises</v>
      </c>
      <c r="L91" s="12" t="str">
        <f t="shared" si="84"/>
        <v>Loan Payable - Betson Enterprises</v>
      </c>
      <c r="M91" s="12" t="str">
        <f t="shared" si="84"/>
        <v>Loan Payable - Betson Enterprises</v>
      </c>
      <c r="N91" s="12" t="str">
        <f t="shared" si="84"/>
        <v>Loan Payable - Betson Enterprises</v>
      </c>
      <c r="O91" s="12" t="str">
        <f t="shared" si="84"/>
        <v>Loan Payable - Betson Enterprises</v>
      </c>
      <c r="P91" s="12" t="str">
        <f t="shared" si="84"/>
        <v>Loan Payable - Betson Enterprises</v>
      </c>
      <c r="Q91" s="12" t="str">
        <f t="shared" si="84"/>
        <v>Loan Payable - Betson Enterprises</v>
      </c>
      <c r="R91" s="12" t="str">
        <f t="shared" si="84"/>
        <v>Loan Payable - Betson Enterprises</v>
      </c>
      <c r="S91" s="12" t="str">
        <f t="shared" si="84"/>
        <v>Loan Payable - Betson Enterprises</v>
      </c>
      <c r="T91" s="12" t="str">
        <f t="shared" si="84"/>
        <v>Loan Payable - Betson Enterprises</v>
      </c>
      <c r="U91" s="13" t="s">
        <v>314</v>
      </c>
      <c r="V91" s="12" t="s">
        <v>32</v>
      </c>
      <c r="W91" s="12"/>
      <c r="X91" s="12" t="str">
        <f t="shared" si="66"/>
        <v>Loan Payable - Betson Enterprises</v>
      </c>
    </row>
    <row r="92" spans="1:24" ht="16.05" customHeight="1" x14ac:dyDescent="0.3">
      <c r="A92" s="11" t="s">
        <v>315</v>
      </c>
      <c r="B92" s="11"/>
      <c r="C92" s="12" t="s">
        <v>316</v>
      </c>
      <c r="D92" s="12" t="str">
        <f t="shared" si="64"/>
        <v>Loan Payable - Betson Enterprises II</v>
      </c>
      <c r="E92" s="12" t="s">
        <v>172</v>
      </c>
      <c r="F92" s="12" t="s">
        <v>23</v>
      </c>
      <c r="G92" s="12" t="s">
        <v>251</v>
      </c>
      <c r="H92" s="12" t="s">
        <v>303</v>
      </c>
      <c r="I92" s="12" t="s">
        <v>304</v>
      </c>
      <c r="J92" s="12" t="s">
        <v>316</v>
      </c>
      <c r="K92" s="12" t="str">
        <f t="shared" ref="K92:T92" si="85">J92</f>
        <v>Loan Payable - Betson Enterprises II</v>
      </c>
      <c r="L92" s="12" t="str">
        <f t="shared" si="85"/>
        <v>Loan Payable - Betson Enterprises II</v>
      </c>
      <c r="M92" s="12" t="str">
        <f t="shared" si="85"/>
        <v>Loan Payable - Betson Enterprises II</v>
      </c>
      <c r="N92" s="12" t="str">
        <f t="shared" si="85"/>
        <v>Loan Payable - Betson Enterprises II</v>
      </c>
      <c r="O92" s="12" t="str">
        <f t="shared" si="85"/>
        <v>Loan Payable - Betson Enterprises II</v>
      </c>
      <c r="P92" s="12" t="str">
        <f t="shared" si="85"/>
        <v>Loan Payable - Betson Enterprises II</v>
      </c>
      <c r="Q92" s="12" t="str">
        <f t="shared" si="85"/>
        <v>Loan Payable - Betson Enterprises II</v>
      </c>
      <c r="R92" s="12" t="str">
        <f t="shared" si="85"/>
        <v>Loan Payable - Betson Enterprises II</v>
      </c>
      <c r="S92" s="12" t="str">
        <f t="shared" si="85"/>
        <v>Loan Payable - Betson Enterprises II</v>
      </c>
      <c r="T92" s="12" t="str">
        <f t="shared" si="85"/>
        <v>Loan Payable - Betson Enterprises II</v>
      </c>
      <c r="U92" s="13" t="s">
        <v>317</v>
      </c>
      <c r="V92" s="12" t="s">
        <v>32</v>
      </c>
      <c r="W92" s="12"/>
      <c r="X92" s="12" t="str">
        <f t="shared" si="66"/>
        <v>Loan Payable - Betson Enterprises II</v>
      </c>
    </row>
    <row r="93" spans="1:24" ht="16.05" customHeight="1"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row>
    <row r="94" spans="1:24" ht="16.05" customHeight="1" x14ac:dyDescent="0.3">
      <c r="A94" s="2" t="s">
        <v>318</v>
      </c>
      <c r="B94" s="2"/>
      <c r="C94" s="3" t="s">
        <v>319</v>
      </c>
      <c r="D94" s="3" t="str">
        <f t="shared" si="64"/>
        <v>Retained Earnings</v>
      </c>
      <c r="E94" s="3" t="s">
        <v>172</v>
      </c>
      <c r="F94" s="3" t="s">
        <v>23</v>
      </c>
      <c r="G94" s="3" t="s">
        <v>24</v>
      </c>
      <c r="H94" s="3" t="s">
        <v>24</v>
      </c>
      <c r="I94" s="3" t="s">
        <v>320</v>
      </c>
      <c r="J94" s="3" t="s">
        <v>319</v>
      </c>
      <c r="K94" s="3" t="str">
        <f t="shared" ref="K94:T94" si="86">J94</f>
        <v>Retained Earnings</v>
      </c>
      <c r="L94" s="3" t="str">
        <f t="shared" si="86"/>
        <v>Retained Earnings</v>
      </c>
      <c r="M94" s="3" t="str">
        <f t="shared" si="86"/>
        <v>Retained Earnings</v>
      </c>
      <c r="N94" s="3" t="str">
        <f t="shared" si="86"/>
        <v>Retained Earnings</v>
      </c>
      <c r="O94" s="3" t="str">
        <f t="shared" si="86"/>
        <v>Retained Earnings</v>
      </c>
      <c r="P94" s="3" t="str">
        <f t="shared" si="86"/>
        <v>Retained Earnings</v>
      </c>
      <c r="Q94" s="3" t="str">
        <f t="shared" si="86"/>
        <v>Retained Earnings</v>
      </c>
      <c r="R94" s="3" t="str">
        <f t="shared" si="86"/>
        <v>Retained Earnings</v>
      </c>
      <c r="S94" s="3" t="str">
        <f t="shared" si="86"/>
        <v>Retained Earnings</v>
      </c>
      <c r="T94" s="3" t="str">
        <f t="shared" si="86"/>
        <v>Retained Earnings</v>
      </c>
      <c r="U94" s="4" t="s">
        <v>321</v>
      </c>
      <c r="V94" s="3" t="s">
        <v>32</v>
      </c>
      <c r="W94" s="3"/>
      <c r="X94" s="3" t="str">
        <f t="shared" si="66"/>
        <v>Retained Earnings</v>
      </c>
    </row>
    <row r="95" spans="1:24" ht="16.05" customHeight="1" x14ac:dyDescent="0.3">
      <c r="A95" s="2" t="s">
        <v>322</v>
      </c>
      <c r="B95" s="2"/>
      <c r="C95" s="3" t="s">
        <v>25</v>
      </c>
      <c r="D95" s="3" t="str">
        <f t="shared" si="64"/>
        <v>Net Income</v>
      </c>
      <c r="E95" s="3" t="s">
        <v>172</v>
      </c>
      <c r="F95" s="3" t="s">
        <v>23</v>
      </c>
      <c r="G95" s="3" t="s">
        <v>24</v>
      </c>
      <c r="H95" s="3" t="s">
        <v>24</v>
      </c>
      <c r="I95" s="3" t="s">
        <v>320</v>
      </c>
      <c r="J95" s="3" t="s">
        <v>25</v>
      </c>
      <c r="K95" s="3" t="str">
        <f t="shared" ref="K95:T95" si="87">J95</f>
        <v>Net Income</v>
      </c>
      <c r="L95" s="3" t="str">
        <f t="shared" si="87"/>
        <v>Net Income</v>
      </c>
      <c r="M95" s="3" t="str">
        <f t="shared" si="87"/>
        <v>Net Income</v>
      </c>
      <c r="N95" s="3" t="str">
        <f t="shared" si="87"/>
        <v>Net Income</v>
      </c>
      <c r="O95" s="3" t="str">
        <f t="shared" si="87"/>
        <v>Net Income</v>
      </c>
      <c r="P95" s="3" t="str">
        <f t="shared" si="87"/>
        <v>Net Income</v>
      </c>
      <c r="Q95" s="3" t="str">
        <f t="shared" si="87"/>
        <v>Net Income</v>
      </c>
      <c r="R95" s="3" t="str">
        <f t="shared" si="87"/>
        <v>Net Income</v>
      </c>
      <c r="S95" s="3" t="str">
        <f t="shared" si="87"/>
        <v>Net Income</v>
      </c>
      <c r="T95" s="3" t="str">
        <f t="shared" si="87"/>
        <v>Net Income</v>
      </c>
      <c r="U95" s="4" t="s">
        <v>323</v>
      </c>
      <c r="V95" s="3" t="s">
        <v>32</v>
      </c>
      <c r="W95" s="3"/>
      <c r="X95" s="3" t="str">
        <f t="shared" si="66"/>
        <v>Net Income</v>
      </c>
    </row>
  </sheetData>
  <mergeCells count="2">
    <mergeCell ref="A2:X2"/>
    <mergeCell ref="A1:X1"/>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Chart of 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Tonnesen</cp:lastModifiedBy>
  <dcterms:created xsi:type="dcterms:W3CDTF">2026-06-26T00:57:46Z</dcterms:created>
  <dcterms:modified xsi:type="dcterms:W3CDTF">2026-06-30T00:47:00Z</dcterms:modified>
</cp:coreProperties>
</file>